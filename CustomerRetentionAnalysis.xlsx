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ab427f37c562ad4c/Desktop/SQL ^M Excel Project-Customer Retention Analysis/"/>
    </mc:Choice>
  </mc:AlternateContent>
  <xr:revisionPtr revIDLastSave="4" documentId="14_{A6DE88C9-38C9-4A0C-AE56-74119A2D0C49}" xr6:coauthVersionLast="47" xr6:coauthVersionMax="47" xr10:uidLastSave="{51BEA6ED-3590-43C0-B984-88A00C3FCBDB}"/>
  <bookViews>
    <workbookView xWindow="28680" yWindow="-120" windowWidth="29040" windowHeight="15720" tabRatio="830" xr2:uid="{DB9CFCDA-F1D5-4B31-96A8-1E8492D89D72}"/>
  </bookViews>
  <sheets>
    <sheet name="Home" sheetId="17" r:id="rId1"/>
    <sheet name="Purchasing Behavior" sheetId="22" r:id="rId2"/>
    <sheet name="Digital Engagement" sheetId="23" r:id="rId3"/>
    <sheet name="Support Experience" sheetId="25" r:id="rId4"/>
    <sheet name="Insights and Recommendations " sheetId="26" r:id="rId5"/>
    <sheet name="Home Dashboard KPIs" sheetId="2" state="hidden" r:id="rId6"/>
    <sheet name="Home Dashboard Segments" sheetId="4" state="hidden" r:id="rId7"/>
    <sheet name="Home Dashboard Segment Bubbles" sheetId="19" state="hidden" r:id="rId8"/>
    <sheet name="Purchasing - Frequency" sheetId="5" state="hidden" r:id="rId9"/>
    <sheet name="Purchasing - Spending" sheetId="6" state="hidden" r:id="rId10"/>
    <sheet name="Purchasing - AOV" sheetId="7" state="hidden" r:id="rId11"/>
    <sheet name="Purchasing - Recency" sheetId="8" state="hidden" r:id="rId12"/>
    <sheet name="Digital - Engagement Repeat" sheetId="9" state="hidden" r:id="rId13"/>
    <sheet name="Digital - Engagement Value" sheetId="10" state="hidden" r:id="rId14"/>
    <sheet name="Digital - Behavior Repeat" sheetId="11" state="hidden" r:id="rId15"/>
    <sheet name="Digital - Behavior Value" sheetId="12" state="hidden" r:id="rId16"/>
    <sheet name="Support - Ticket Frequency" sheetId="13" state="hidden" r:id="rId17"/>
    <sheet name="Support - Sentiment" sheetId="14" state="hidden" r:id="rId18"/>
    <sheet name="Support - Resolution Time" sheetId="15" state="hidden" r:id="rId19"/>
    <sheet name="Support - Issue Type" sheetId="16" state="hidden" r:id="rId20"/>
  </sheets>
  <definedNames>
    <definedName name="ExternalData_1" localSheetId="5" hidden="1">'Home Dashboard KPIs'!$A$1:$E$2</definedName>
    <definedName name="ExternalData_1" localSheetId="7" hidden="1">'Home Dashboard Segment Bubbles'!$A$1:$F$765</definedName>
    <definedName name="ExternalData_1" localSheetId="6" hidden="1">'Home Dashboard Segments'!$A$1:$I$5</definedName>
    <definedName name="ExternalData_10" localSheetId="16" hidden="1">'Support - Ticket Frequency'!$A$1:$E$5</definedName>
    <definedName name="ExternalData_11" localSheetId="17" hidden="1">'Support - Sentiment'!$A$1:$E$4</definedName>
    <definedName name="ExternalData_12" localSheetId="18" hidden="1">'Support - Resolution Time'!$A$1:$E$5</definedName>
    <definedName name="ExternalData_13" localSheetId="19" hidden="1">'Support - Issue Type'!$A$1:$E$5</definedName>
    <definedName name="ExternalData_2" localSheetId="8" hidden="1">'Purchasing - Frequency'!$A$1:$E$6</definedName>
    <definedName name="ExternalData_3" localSheetId="9" hidden="1">'Purchasing - Spending'!$A$1:$E$5</definedName>
    <definedName name="ExternalData_4" localSheetId="10" hidden="1">'Purchasing - AOV'!$A$1:$E$5</definedName>
    <definedName name="ExternalData_5" localSheetId="11" hidden="1">'Purchasing - Recency'!$A$1:$E$6</definedName>
    <definedName name="ExternalData_6" localSheetId="12" hidden="1">'Digital - Engagement Repeat'!$A$1:$D$5</definedName>
    <definedName name="ExternalData_7" localSheetId="13" hidden="1">'Digital - Engagement Value'!$A$1:$C$5</definedName>
    <definedName name="ExternalData_8" localSheetId="14" hidden="1">'Digital - Behavior Repeat'!$A$1:$F$5</definedName>
    <definedName name="ExternalData_9" localSheetId="15" hidden="1">'Digital - Behavior Value'!$A$1:$G$5</definedName>
  </definedNames>
  <calcPr calcId="191029"/>
  <pivotCaches>
    <pivotCache cacheId="0"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20" i="23" l="1"/>
  <c r="D5" i="2"/>
  <c r="E5" i="2"/>
  <c r="C5" i="2"/>
  <c r="U28" i="23" l="1"/>
  <c r="U25" i="23"/>
  <c r="U22" i="23"/>
  <c r="U20" i="23"/>
  <c r="T28" i="23"/>
  <c r="T25" i="23"/>
  <c r="T22" i="23"/>
  <c r="I2" i="12"/>
  <c r="A5" i="2"/>
  <c r="B5" i="2"/>
  <c r="G2" i="14" a="1"/>
  <c r="G2" i="14" s="1"/>
  <c r="I3" i="12"/>
  <c r="I4" i="12"/>
  <c r="I5" i="12"/>
  <c r="J5" i="12"/>
  <c r="J3" i="12"/>
  <c r="J4" i="12"/>
  <c r="J2" i="12"/>
  <c r="F9" i="12"/>
  <c r="F10" i="12"/>
  <c r="F11" i="12"/>
  <c r="E9" i="12"/>
  <c r="E10" i="12"/>
  <c r="E11" i="12"/>
  <c r="C8" i="12" a="1"/>
  <c r="C8" i="12" s="1"/>
  <c r="B8" i="12" a="1"/>
  <c r="B8" i="12" s="1"/>
  <c r="F8" i="12" s="1"/>
  <c r="A8" i="12" a="1"/>
  <c r="A8" i="12" s="1"/>
  <c r="I5" i="11"/>
  <c r="I4" i="11"/>
  <c r="I3" i="11"/>
  <c r="I2" i="11"/>
  <c r="H5" i="11"/>
  <c r="H4" i="11"/>
  <c r="H3" i="11"/>
  <c r="H2" i="11"/>
  <c r="C8" i="6" a="1"/>
  <c r="C8" i="6" s="1"/>
  <c r="B8" i="6" a="1"/>
  <c r="B8" i="6" s="1"/>
  <c r="E8" i="1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EDD63F-6A3A-4867-8361-C260E20FDBBF}" keepAlive="1" name="Query - Customer Retention Segments" description="Connection to the 'Customer Retention Segments' query in the workbook." type="5" refreshedVersion="8" background="1" saveData="1">
    <dbPr connection="Provider=Microsoft.Mashup.OleDb.1;Data Source=$Workbook$;Location=&quot;Customer Retention Segments&quot;;Extended Properties=&quot;&quot;" command="SELECT * FROM [Customer Retention Segments]"/>
  </connection>
  <connection id="2" xr16:uid="{8C27D54A-6D16-40AD-A0D6-0B07E02DE849}" keepAlive="1" name="Query - Customer Segment Bubble Data" description="Connection to the 'Customer Segment Bubble Data' query in the workbook." type="5" refreshedVersion="8" background="1" saveData="1">
    <dbPr connection="Provider=Microsoft.Mashup.OleDb.1;Data Source=$Workbook$;Location=&quot;Customer Segment Bubble Data&quot;;Extended Properties=&quot;&quot;" command="SELECT * FROM [Customer Segment Bubble Data]"/>
  </connection>
  <connection id="3" xr16:uid="{B91250DF-E64F-4EE1-B68C-BC0E258C8C06}" keepAlive="1" name="Query - Digital Behavior - Future Value" description="Connection to the 'Digital Behavior - Future Value' query in the workbook." type="5" refreshedVersion="8" background="1" saveData="1">
    <dbPr connection="Provider=Microsoft.Mashup.OleDb.1;Data Source=$Workbook$;Location=&quot;Digital Behavior - Future Value&quot;;Extended Properties=&quot;&quot;" command="SELECT * FROM [Digital Behavior - Future Value]"/>
  </connection>
  <connection id="4" xr16:uid="{D6F6079A-CD15-446E-BDC0-74E8D8E5C340}" keepAlive="1" name="Query - Digital Behavior - Repeat Purchasing" description="Connection to the 'Digital Behavior - Repeat Purchasing' query in the workbook." type="5" refreshedVersion="8" background="1" saveData="1">
    <dbPr connection="Provider=Microsoft.Mashup.OleDb.1;Data Source=$Workbook$;Location=&quot;Digital Behavior - Repeat Purchasing&quot;;Extended Properties=&quot;&quot;" command="SELECT * FROM [Digital Behavior - Repeat Purchasing]"/>
  </connection>
  <connection id="5" xr16:uid="{FECD56B0-FD18-4E3C-AB9D-A0BC6ED874A9}" keepAlive="1" name="Query - Digital Engagement - Future Value" description="Connection to the 'Digital Engagement - Future Value' query in the workbook." type="5" refreshedVersion="8" background="1" saveData="1">
    <dbPr connection="Provider=Microsoft.Mashup.OleDb.1;Data Source=$Workbook$;Location=&quot;Digital Engagement - Future Value&quot;;Extended Properties=&quot;&quot;" command="SELECT * FROM [Digital Engagement - Future Value]"/>
  </connection>
  <connection id="6" xr16:uid="{51AB7CFC-BCCF-4133-B26F-094C4FEEB53A}" keepAlive="1" name="Query - Digital Engagement - Repeat Purchasing" description="Connection to the 'Digital Engagement - Repeat Purchasing' query in the workbook." type="5" refreshedVersion="8" background="1" saveData="1">
    <dbPr connection="Provider=Microsoft.Mashup.OleDb.1;Data Source=$Workbook$;Location=&quot;Digital Engagement - Repeat Purchasing&quot;;Extended Properties=&quot;&quot;" command="SELECT * FROM [Digital Engagement - Repeat Purchasing]"/>
  </connection>
  <connection id="7" xr16:uid="{B968EAA8-C981-454D-81FC-E492F8D351BB}" keepAlive="1" name="Query - Historical AOV Analysis" description="Connection to the 'Historical AOV Analysis' query in the workbook." type="5" refreshedVersion="8" background="1" saveData="1">
    <dbPr connection="Provider=Microsoft.Mashup.OleDb.1;Data Source=$Workbook$;Location=&quot;Historical AOV Analysis&quot;;Extended Properties=&quot;&quot;" command="SELECT * FROM [Historical AOV Analysis]"/>
  </connection>
  <connection id="8" xr16:uid="{3778D348-473A-498B-913D-EC8E6303C529}" keepAlive="1" name="Query - Historical Spending Analysis" description="Connection to the 'Historical Spending Analysis' query in the workbook." type="5" refreshedVersion="8" background="1" saveData="1">
    <dbPr connection="Provider=Microsoft.Mashup.OleDb.1;Data Source=$Workbook$;Location=&quot;Historical Spending Analysis&quot;;Extended Properties=&quot;&quot;" command="SELECT * FROM [Historical Spending Analysis]"/>
  </connection>
  <connection id="9" xr16:uid="{558ACF70-5009-4450-AF38-33D055B7DC3B}" keepAlive="1" name="Query - Purchase Frequency Analysis" description="Connection to the 'Purchase Frequency Analysis' query in the workbook." type="5" refreshedVersion="8" background="1" saveData="1">
    <dbPr connection="Provider=Microsoft.Mashup.OleDb.1;Data Source=$Workbook$;Location=&quot;Purchase Frequency Analysis&quot;;Extended Properties=&quot;&quot;" command="SELECT * FROM [Purchase Frequency Analysis]"/>
  </connection>
  <connection id="10" xr16:uid="{FC008C2D-1188-4B80-BC60-3873FB9C5C1F}" keepAlive="1" name="Query - Purchase Recency Analysis" description="Connection to the 'Purchase Recency Analysis' query in the workbook." type="5" refreshedVersion="8" background="1" saveData="1">
    <dbPr connection="Provider=Microsoft.Mashup.OleDb.1;Data Source=$Workbook$;Location=&quot;Purchase Recency Analysis&quot;;Extended Properties=&quot;&quot;" command="SELECT * FROM [Purchase Recency Analysis]"/>
  </connection>
  <connection id="11" xr16:uid="{C2743CB4-520C-446C-A5F7-1BE806F6D21E}" keepAlive="1" name="Query - Retention Overview KPIs" description="Connection to the 'Retention Overview KPIs' query in the workbook." type="5" refreshedVersion="8" background="1" saveData="1">
    <dbPr connection="Provider=Microsoft.Mashup.OleDb.1;Data Source=$Workbook$;Location=&quot;Retention Overview KPIs&quot;;Extended Properties=&quot;&quot;" command="SELECT * FROM [Retention Overview KPIs]"/>
  </connection>
  <connection id="12" xr16:uid="{1AB38908-18B2-4877-856F-22EE780528F7}" keepAlive="1" name="Query - Support Issue Type Analysis" description="Connection to the 'Support Issue Type Analysis' query in the workbook." type="5" refreshedVersion="8" background="1" saveData="1">
    <dbPr connection="Provider=Microsoft.Mashup.OleDb.1;Data Source=$Workbook$;Location=&quot;Support Issue Type Analysis&quot;;Extended Properties=&quot;&quot;" command="SELECT * FROM [Support Issue Type Analysis]"/>
  </connection>
  <connection id="13" xr16:uid="{A92BABCF-0E11-4C38-9710-9FBC2E12C6C0}" keepAlive="1" name="Query - Support Resolution Time Analysis" description="Connection to the 'Support Resolution Time Analysis' query in the workbook." type="5" refreshedVersion="8" background="1" saveData="1">
    <dbPr connection="Provider=Microsoft.Mashup.OleDb.1;Data Source=$Workbook$;Location=&quot;Support Resolution Time Analysis&quot;;Extended Properties=&quot;&quot;" command="SELECT * FROM [Support Resolution Time Analysis]"/>
  </connection>
  <connection id="14" xr16:uid="{E89B80E0-0BE7-490C-86B1-91651533768F}" keepAlive="1" name="Query - Support Sentiment Analysis" description="Connection to the 'Support Sentiment Analysis' query in the workbook." type="5" refreshedVersion="8" background="1" saveData="1">
    <dbPr connection="Provider=Microsoft.Mashup.OleDb.1;Data Source=$Workbook$;Location=&quot;Support Sentiment Analysis&quot;;Extended Properties=&quot;&quot;" command="SELECT * FROM [Support Sentiment Analysis]"/>
  </connection>
  <connection id="15" xr16:uid="{B3A06A78-A6E6-4210-A6AA-201011F49BC8}" keepAlive="1" name="Query - Support Ticket Frequency Analysis" description="Connection to the 'Support Ticket Frequency Analysis' query in the workbook." type="5" refreshedVersion="8" background="1" saveData="1">
    <dbPr connection="Provider=Microsoft.Mashup.OleDb.1;Data Source=$Workbook$;Location=&quot;Support Ticket Frequency Analysis&quot;;Extended Properties=&quot;&quot;" command="SELECT * FROM [Support Ticket Frequency Analysi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<sst xmlns="http://schemas.openxmlformats.org/spreadsheetml/2006/main" count="927" uniqueCount="106">
  <si>
    <t>historical_customers</t>
  </si>
  <si>
    <t>future_repeat_customers</t>
  </si>
  <si>
    <t>future_repeat_purchase_rate</t>
  </si>
  <si>
    <t>avg_future_revenue_per_customer</t>
  </si>
  <si>
    <t>avg_future_revenue_per_repeat_customer</t>
  </si>
  <si>
    <t>customer_segment</t>
  </si>
  <si>
    <t>customer_share_pct</t>
  </si>
  <si>
    <t>avg_historical_orders</t>
  </si>
  <si>
    <t>avg_historical_revenue_per_customer</t>
  </si>
  <si>
    <t>avg_days_since_last_order</t>
  </si>
  <si>
    <t>Loyal &amp; Active</t>
  </si>
  <si>
    <t>Loyal but Cooling</t>
  </si>
  <si>
    <t>Developing</t>
  </si>
  <si>
    <t>Low Engagement / Lapsed</t>
  </si>
  <si>
    <t>purchase_frequency_group</t>
  </si>
  <si>
    <t>historical_spending_group</t>
  </si>
  <si>
    <t>Low Spend</t>
  </si>
  <si>
    <t>Medium Spend</t>
  </si>
  <si>
    <t>High Spend</t>
  </si>
  <si>
    <t>Very High Spend</t>
  </si>
  <si>
    <t>historical_aov_group</t>
  </si>
  <si>
    <t>Low AOV</t>
  </si>
  <si>
    <t>Medium AOV</t>
  </si>
  <si>
    <t>High AOV</t>
  </si>
  <si>
    <t>Very High AOV</t>
  </si>
  <si>
    <t>recency_group</t>
  </si>
  <si>
    <t>engagement_group</t>
  </si>
  <si>
    <t>1-4 Events</t>
  </si>
  <si>
    <t>5-6 Events</t>
  </si>
  <si>
    <t>7-8 Events</t>
  </si>
  <si>
    <t>9+ Events</t>
  </si>
  <si>
    <t>behavior</t>
  </si>
  <si>
    <t>customers_performed</t>
  </si>
  <si>
    <t>customers_not_performed</t>
  </si>
  <si>
    <t>repeat_rate_performed</t>
  </si>
  <si>
    <t>repeat_rate_not_performed</t>
  </si>
  <si>
    <t>repeat_rate_lift_percentage_points</t>
  </si>
  <si>
    <t>Page View</t>
  </si>
  <si>
    <t>Search</t>
  </si>
  <si>
    <t>Add to Cart</t>
  </si>
  <si>
    <t>Login</t>
  </si>
  <si>
    <t>avg_future_revenue_performed</t>
  </si>
  <si>
    <t>avg_future_revenue_not_performed</t>
  </si>
  <si>
    <t>future_revenue_difference</t>
  </si>
  <si>
    <t>future_revenue_lift_pct</t>
  </si>
  <si>
    <t>support_frequency_group</t>
  </si>
  <si>
    <t>sentiment</t>
  </si>
  <si>
    <t>positive</t>
  </si>
  <si>
    <t>neutral</t>
  </si>
  <si>
    <t>negative</t>
  </si>
  <si>
    <t>resolution_time_group</t>
  </si>
  <si>
    <t>0-72 Hours</t>
  </si>
  <si>
    <t>73-120 Hours</t>
  </si>
  <si>
    <t>121-168 Hours</t>
  </si>
  <si>
    <t>169+ Hours</t>
  </si>
  <si>
    <t>issue_type</t>
  </si>
  <si>
    <t>refund</t>
  </si>
  <si>
    <t>product</t>
  </si>
  <si>
    <t>payment</t>
  </si>
  <si>
    <t>delay</t>
  </si>
  <si>
    <t>historical customers</t>
  </si>
  <si>
    <t>future repeat customers</t>
  </si>
  <si>
    <t>future repeat purchase rate</t>
  </si>
  <si>
    <t>avg future revenue per customer</t>
  </si>
  <si>
    <t>avg future revenue per repeat customer</t>
  </si>
  <si>
    <t>historical_orders</t>
  </si>
  <si>
    <t>recency_bin_start</t>
  </si>
  <si>
    <t>recency_bin_end</t>
  </si>
  <si>
    <t>recency_bin_midpoint</t>
  </si>
  <si>
    <t>customer_count</t>
  </si>
  <si>
    <t>Customer Segment</t>
  </si>
  <si>
    <t>Customers</t>
  </si>
  <si>
    <t>Avg Historical Orders</t>
  </si>
  <si>
    <t>Avg Historical Revenue</t>
  </si>
  <si>
    <t xml:space="preserve">Tier </t>
  </si>
  <si>
    <t>Historical Spending</t>
  </si>
  <si>
    <t xml:space="preserve">Low </t>
  </si>
  <si>
    <t xml:space="preserve">Medium </t>
  </si>
  <si>
    <t>High</t>
  </si>
  <si>
    <t>Very High</t>
  </si>
  <si>
    <t>Historical Avg Order Value</t>
  </si>
  <si>
    <t>Digital Behavior</t>
  </si>
  <si>
    <t>Repeat Rate Lift</t>
  </si>
  <si>
    <t>Behavior</t>
  </si>
  <si>
    <t>Performed</t>
  </si>
  <si>
    <t>Not Performed</t>
  </si>
  <si>
    <t>Position</t>
  </si>
  <si>
    <t>Positive Error</t>
  </si>
  <si>
    <t>Negative Error</t>
  </si>
  <si>
    <t>NEW future revenue difference</t>
  </si>
  <si>
    <t>NEW future revenue lift pct</t>
  </si>
  <si>
    <t>Repeat Rate Label</t>
  </si>
  <si>
    <t>Avg Days Between Last Historical Order and Cutoff Date</t>
  </si>
  <si>
    <t xml:space="preserve">Historical Customer Share </t>
  </si>
  <si>
    <t xml:space="preserve">1-4 </t>
  </si>
  <si>
    <t>9+</t>
  </si>
  <si>
    <t>7-8</t>
  </si>
  <si>
    <t>5-6</t>
  </si>
  <si>
    <t>3+</t>
  </si>
  <si>
    <t>1-2</t>
  </si>
  <si>
    <t>3-4</t>
  </si>
  <si>
    <t>0-30</t>
  </si>
  <si>
    <t>31-90</t>
  </si>
  <si>
    <t>91-180</t>
  </si>
  <si>
    <t>181-365</t>
  </si>
  <si>
    <t>366+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</si>
</sst>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 #,##0_);_(* \(#,##0\);_(* &quot;-&quot;??_);_(@_)"/>
    <numFmt numFmtId="165" formatCode="0.0"/>
    <numFmt numFmtId="166" formatCode="0.0&quot;%&quot;"/>
    <numFmt numFmtId="167" formatCode="&quot;$&quot;#,##0"/>
    <numFmt numFmtId="168" formatCode="[Color10]\+#,##0;[Red]\-#,##0;0"/>
    <numFmt numFmtId="169" formatCode="[Color10]\+0.00;[Red]\-0.00;0.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Aptos Narrow"/>
      <family val="2"/>
      <scheme val="minor"/>
    </font>
    <font>
      <b/>
      <sz val="9"/>
      <color rgb="FF000000"/>
      <name val="Aptos Narrow"/>
      <family val="2"/>
      <scheme val="minor"/>
    </font>
    <font>
      <b/>
      <sz val="11"/>
      <color theme="0"/>
      <name val="Aptos Narrow"/>
      <family val="2"/>
      <scheme val="minor"/>
    </font>
  </fonts>
  <fills count="11">
    <fill>
      <patternFill patternType="none"/>
    </fill>
    <fill>
      <patternFill patternType="gray125"/>
    </fill>
    <fill>
      <patternFill patternType="solid">
        <fgColor theme="3" tint="0.749992370372631"/>
        <bgColor indexed="64"/>
      </patternFill>
    </fill>
    <fill>
      <patternFill patternType="solid">
        <fgColor theme="3" tint="0.499984740745262"/>
        <bgColor indexed="64"/>
      </patternFill>
    </fill>
    <fill>
      <patternFill patternType="solid">
        <fgColor theme="9" tint="0.79998168889431442"/>
        <bgColor indexed="64"/>
      </patternFill>
    </fill>
    <fill>
      <patternFill patternType="solid">
        <fgColor rgb="FFB3D9D9"/>
        <bgColor indexed="64"/>
      </patternFill>
    </fill>
    <fill>
      <patternFill patternType="solid">
        <fgColor rgb="FFFFDFBF"/>
        <bgColor indexed="64"/>
      </patternFill>
    </fill>
    <fill>
      <patternFill patternType="solid">
        <fgColor theme="3" tint="9.9978637043366805E-2"/>
        <bgColor indexed="64"/>
      </patternFill>
    </fill>
    <fill>
      <patternFill patternType="solid">
        <fgColor theme="0"/>
        <bgColor indexed="64"/>
      </patternFill>
    </fill>
    <fill>
      <patternFill patternType="solid">
        <fgColor theme="9" tint="0.59999389629810485"/>
        <bgColor indexed="64"/>
      </patternFill>
    </fill>
    <fill>
      <patternFill patternType="solid">
        <fgColor theme="2" tint="-9.9978637043366805E-2"/>
        <bgColor indexed="64"/>
      </patternFill>
    </fill>
  </fills>
  <borders count="6">
    <border>
      <left/>
      <right/>
      <top/>
      <bottom/>
      <diagonal/>
    </border>
    <border>
      <left/>
      <right style="thick">
        <color indexed="64"/>
      </right>
      <top/>
      <bottom style="thick">
        <color indexed="64"/>
      </bottom>
      <diagonal/>
    </border>
    <border>
      <left/>
      <right style="thick">
        <color indexed="64"/>
      </right>
      <top/>
      <bottom/>
      <diagonal/>
    </border>
    <border>
      <left/>
      <right/>
      <top/>
      <bottom style="thick">
        <color indexed="64"/>
      </bottom>
      <diagonal/>
    </border>
    <border>
      <left style="thin">
        <color theme="0"/>
      </left>
      <right style="thin">
        <color theme="0"/>
      </right>
      <top/>
      <bottom/>
      <diagonal/>
    </border>
    <border>
      <left style="thin">
        <color theme="0"/>
      </left>
      <right style="thin">
        <color theme="0"/>
      </right>
      <top/>
      <bottom style="thick">
        <color indexed="64"/>
      </bottom>
      <diagonal/>
    </border>
  </borders>
  <cellStyleXfs count="2">
    <xf numFmtId="0" fontId="0" fillId="0" borderId="0"/>
    <xf numFmtId="43" fontId="1" fillId="0" borderId="0" applyFont="0" applyFill="0" applyBorder="0" applyAlignment="0" applyProtection="0"/>
  </cellStyleXfs>
  <cellXfs count="43">
    <xf numFmtId="0" fontId="0" fillId="0" borderId="0" xfId="0"/>
    <xf numFmtId="2" fontId="0" fillId="0" borderId="0" xfId="0" applyNumberFormat="1"/>
    <xf numFmtId="0" fontId="0" fillId="2" borderId="0" xfId="0" applyFill="1"/>
    <xf numFmtId="164" fontId="0" fillId="2" borderId="0" xfId="1" applyNumberFormat="1" applyFont="1" applyFill="1"/>
    <xf numFmtId="0" fontId="0" fillId="2" borderId="0" xfId="0" applyFill="1" applyAlignment="1">
      <alignment wrapText="1"/>
    </xf>
    <xf numFmtId="43" fontId="0" fillId="0" borderId="0" xfId="1" applyFont="1"/>
    <xf numFmtId="49" fontId="0" fillId="0" borderId="0" xfId="0" applyNumberFormat="1"/>
    <xf numFmtId="0" fontId="0" fillId="4" borderId="0" xfId="0" applyFill="1"/>
    <xf numFmtId="0" fontId="0" fillId="6" borderId="0" xfId="0" applyFill="1"/>
    <xf numFmtId="0" fontId="4" fillId="2" borderId="0" xfId="0" applyFont="1" applyFill="1"/>
    <xf numFmtId="0" fontId="0" fillId="3" borderId="0" xfId="0" applyFill="1"/>
    <xf numFmtId="165" fontId="0" fillId="3" borderId="2" xfId="0" applyNumberFormat="1" applyFill="1" applyBorder="1"/>
    <xf numFmtId="165" fontId="0" fillId="3" borderId="1" xfId="0" applyNumberFormat="1" applyFill="1" applyBorder="1"/>
    <xf numFmtId="0" fontId="0" fillId="0" borderId="0" xfId="0" applyAlignment="1">
      <alignment horizontal="right"/>
    </xf>
    <xf numFmtId="0" fontId="0" fillId="5" borderId="0" xfId="0" applyFill="1"/>
    <xf numFmtId="0" fontId="0" fillId="8" borderId="0" xfId="0" applyFill="1"/>
    <xf numFmtId="0" fontId="3" fillId="5" borderId="0" xfId="0" applyFont="1" applyFill="1" applyAlignment="1">
      <alignment wrapText="1"/>
    </xf>
    <xf numFmtId="0" fontId="2" fillId="5" borderId="0" xfId="0" applyFont="1" applyFill="1"/>
    <xf numFmtId="0" fontId="0" fillId="8" borderId="3" xfId="0" applyFill="1" applyBorder="1"/>
    <xf numFmtId="0" fontId="0" fillId="8" borderId="2" xfId="0" applyFill="1" applyBorder="1"/>
    <xf numFmtId="0" fontId="0" fillId="8" borderId="1" xfId="0" applyFill="1" applyBorder="1"/>
    <xf numFmtId="0" fontId="0" fillId="9" borderId="0" xfId="0" applyFill="1"/>
    <xf numFmtId="164" fontId="0" fillId="9" borderId="0" xfId="1" applyNumberFormat="1" applyFont="1" applyFill="1"/>
    <xf numFmtId="0" fontId="0" fillId="9" borderId="0" xfId="0" applyFill="1" applyAlignment="1">
      <alignment horizontal="right"/>
    </xf>
    <xf numFmtId="167" fontId="0" fillId="9" borderId="0" xfId="1" applyNumberFormat="1" applyFont="1" applyFill="1"/>
    <xf numFmtId="0" fontId="2" fillId="9" borderId="0" xfId="0" applyFont="1" applyFill="1"/>
    <xf numFmtId="0" fontId="2" fillId="9" borderId="0" xfId="0" applyFont="1" applyFill="1" applyAlignment="1">
      <alignment wrapText="1"/>
    </xf>
    <xf numFmtId="0" fontId="0" fillId="3" borderId="3" xfId="0" applyFill="1" applyBorder="1" applyAlignment="1">
      <alignment wrapText="1"/>
    </xf>
    <xf numFmtId="3" fontId="0" fillId="3" borderId="4" xfId="0" applyNumberFormat="1" applyFill="1" applyBorder="1"/>
    <xf numFmtId="3" fontId="0" fillId="3" borderId="5" xfId="0" applyNumberFormat="1" applyFill="1" applyBorder="1"/>
    <xf numFmtId="166" fontId="0" fillId="3" borderId="4" xfId="0" applyNumberFormat="1" applyFill="1" applyBorder="1"/>
    <xf numFmtId="166" fontId="0" fillId="3" borderId="5" xfId="0" applyNumberFormat="1" applyFill="1" applyBorder="1"/>
    <xf numFmtId="165" fontId="0" fillId="3" borderId="4" xfId="0" applyNumberFormat="1" applyFill="1" applyBorder="1"/>
    <xf numFmtId="165" fontId="0" fillId="3" borderId="5" xfId="0" applyNumberFormat="1" applyFill="1" applyBorder="1"/>
    <xf numFmtId="167" fontId="0" fillId="3" borderId="4" xfId="0" applyNumberFormat="1" applyFill="1" applyBorder="1"/>
    <xf numFmtId="167" fontId="0" fillId="3" borderId="5" xfId="0" applyNumberFormat="1" applyFill="1" applyBorder="1"/>
    <xf numFmtId="0" fontId="0" fillId="10" borderId="0" xfId="0" applyFill="1"/>
    <xf numFmtId="168" fontId="0" fillId="8" borderId="0" xfId="0" applyNumberFormat="1" applyFill="1" applyAlignment="1">
      <alignment horizontal="center"/>
    </xf>
    <xf numFmtId="169" fontId="0" fillId="8" borderId="2" xfId="0" applyNumberFormat="1" applyFill="1" applyBorder="1" applyAlignment="1">
      <alignment horizontal="center"/>
    </xf>
    <xf numFmtId="0" fontId="5" fillId="7" borderId="0" xfId="0" applyFont="1" applyFill="1" applyAlignment="1">
      <alignment wrapText="1"/>
    </xf>
    <xf numFmtId="164" fontId="5" fillId="7" borderId="4" xfId="0" applyNumberFormat="1" applyFont="1" applyFill="1" applyBorder="1" applyAlignment="1">
      <alignment wrapText="1"/>
    </xf>
    <xf numFmtId="165" fontId="5" fillId="7" borderId="4" xfId="0" applyNumberFormat="1" applyFont="1" applyFill="1" applyBorder="1" applyAlignment="1">
      <alignment wrapText="1"/>
    </xf>
    <xf numFmtId="44" fontId="5" fillId="7" borderId="4" xfId="0" applyNumberFormat="1" applyFont="1" applyFill="1" applyBorder="1" applyAlignment="1">
      <alignment wrapText="1"/>
    </xf>
  </cellXfs>
  <cellStyles count="2">
    <cellStyle name="Comma" xfId="1" builtinId="3"/>
    <cellStyle name="Normal" xfId="0" builtinId="0"/>
  </cellStyles>
  <dxfs count="9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font>
        <b/>
      </font>
    </dxf>
    <dxf>
      <font>
        <b/>
      </font>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left style="thin">
          <color theme="0"/>
        </left>
      </border>
    </dxf>
    <dxf>
      <border>
        <left style="thin">
          <color theme="0"/>
        </left>
      </border>
    </dxf>
    <dxf>
      <border>
        <right style="thin">
          <color theme="1"/>
        </right>
      </border>
    </dxf>
    <dxf>
      <border>
        <right style="thin">
          <color theme="1"/>
        </right>
      </border>
    </dxf>
    <dxf>
      <border>
        <right style="thin">
          <color theme="0"/>
        </right>
      </border>
    </dxf>
    <dxf>
      <border>
        <left/>
        <right/>
      </border>
    </dxf>
    <dxf>
      <border>
        <right style="thin">
          <color theme="0"/>
        </right>
      </border>
    </dxf>
    <dxf>
      <border>
        <right style="thin">
          <color theme="0"/>
        </right>
      </border>
    </dxf>
    <dxf>
      <border>
        <right style="thin">
          <color theme="0"/>
        </right>
      </border>
    </dxf>
    <dxf>
      <border>
        <right/>
        <bottom/>
      </border>
    </dxf>
    <dxf>
      <border>
        <right/>
        <bottom/>
      </border>
    </dxf>
    <dxf>
      <border>
        <bottom style="thick">
          <color indexed="64"/>
        </bottom>
      </border>
    </dxf>
    <dxf>
      <border>
        <bottom style="thick">
          <color indexed="64"/>
        </bottom>
      </border>
    </dxf>
    <dxf>
      <border>
        <bottom style="thick">
          <color indexed="64"/>
        </bottom>
      </border>
    </dxf>
    <dxf>
      <border>
        <right style="thick">
          <color indexed="64"/>
        </right>
        <bottom style="thick">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0"/>
      </font>
    </dxf>
    <dxf>
      <font>
        <color theme="0"/>
      </font>
    </dxf>
    <dxf>
      <fill>
        <patternFill>
          <bgColor theme="3" tint="9.9978637043366805E-2"/>
        </patternFill>
      </fill>
    </dxf>
    <dxf>
      <fill>
        <patternFill>
          <bgColor theme="3" tint="9.9978637043366805E-2"/>
        </patternFill>
      </fill>
    </dxf>
    <dxf>
      <alignment wrapText="1"/>
    </dxf>
    <dxf>
      <border>
        <bottom style="medium">
          <color indexed="64"/>
        </bottom>
      </border>
    </dxf>
    <dxf>
      <border>
        <bottom style="medium">
          <color indexed="64"/>
        </bottom>
      </border>
    </dxf>
    <dxf>
      <alignment wrapText="1"/>
    </dxf>
    <dxf>
      <alignment wrapText="1"/>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alignment wrapText="1"/>
    </dxf>
    <dxf>
      <fill>
        <patternFill>
          <bgColor theme="3" tint="0.749992370372631"/>
        </patternFill>
      </fill>
    </dxf>
    <dxf>
      <fill>
        <patternFill>
          <bgColor theme="3" tint="0.74999237037263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5" formatCode="0.0"/>
    </dxf>
    <dxf>
      <numFmt numFmtId="167" formatCode="&quot;$&quot;#,##0"/>
    </dxf>
    <dxf>
      <numFmt numFmtId="165" formatCode="0.0"/>
    </dxf>
    <dxf>
      <numFmt numFmtId="166" formatCode="0.0&quot;%&quot;"/>
    </dxf>
    <dxf>
      <numFmt numFmtId="3" formatCode="#,##0"/>
    </dxf>
    <dxf>
      <numFmt numFmtId="34" formatCode="_(&quot;$&quot;* #,##0.00_);_(&quot;$&quot;* \(#,##0.00\);_(&quot;$&quot;* &quot;-&quot;??_);_(@_)"/>
    </dxf>
    <dxf>
      <numFmt numFmtId="165" formatCode="0.0"/>
    </dxf>
    <dxf>
      <numFmt numFmtId="165" formatCode="0.0"/>
    </dxf>
    <dxf>
      <numFmt numFmtId="164" formatCode="_(* #,##0_);_(* \(#,##0\);_(* &quot;-&quot;??_);_(@_)"/>
    </dxf>
  </dxfs>
  <tableStyles count="0" defaultTableStyle="TableStyleMedium2" defaultPivotStyle="PivotStyleLight16"/>
  <colors>
    <mruColors>
      <color rgb="FF014D4E"/>
      <color rgb="FFFFDFBF"/>
      <color rgb="FFB3D9D9"/>
      <color rgb="FF82CCC5"/>
      <color rgb="FF4DB6AC"/>
      <color rgb="FF8CFC99"/>
      <color rgb="FFFDF6F1"/>
      <color rgb="FFF2F8FA"/>
      <color rgb="FFF4F8F2"/>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CA" sz="1400" b="0" i="0" u="none" strike="noStrike" kern="1200" spc="0" baseline="0">
                <a:solidFill>
                  <a:schemeClr val="tx1">
                    <a:lumMod val="65000"/>
                    <a:lumOff val="35000"/>
                  </a:schemeClr>
                </a:solidFill>
                <a:latin typeface="+mn-lt"/>
                <a:ea typeface="+mn-ea"/>
                <a:cs typeface="+mn-cs"/>
              </a:defRPr>
            </a:pPr>
            <a:r>
              <a:rPr lang="en-CA" sz="1400" b="0" i="0" u="none" strike="noStrike" kern="1200" spc="0" baseline="0">
                <a:solidFill>
                  <a:schemeClr val="tx1">
                    <a:lumMod val="65000"/>
                    <a:lumOff val="35000"/>
                  </a:schemeClr>
                </a:solidFill>
                <a:latin typeface="+mn-lt"/>
                <a:ea typeface="+mn-ea"/>
                <a:cs typeface="+mn-cs"/>
              </a:rPr>
              <a:t>Customer Segments by Order Frequency and Recency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CA"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78799919620285"/>
          <c:y val="0.11909286322156482"/>
          <c:w val="0.65985404219655086"/>
          <c:h val="0.70896816339161695"/>
        </c:manualLayout>
      </c:layout>
      <c:bubbleChart>
        <c:varyColors val="0"/>
        <c:ser>
          <c:idx val="0"/>
          <c:order val="0"/>
          <c:tx>
            <c:v>Loyal &amp; Active</c:v>
          </c:tx>
          <c:spPr>
            <a:solidFill>
              <a:schemeClr val="accent1">
                <a:alpha val="75000"/>
              </a:schemeClr>
            </a:solidFill>
            <a:ln>
              <a:noFill/>
            </a:ln>
            <a:effectLst/>
          </c:spPr>
          <c:invertIfNegative val="0"/>
          <c:xVal>
            <c:numRef>
              <c:f>'Home Dashboard Segment Bubbles'!$D$2:$D$117</c:f>
              <c:numCache>
                <c:formatCode>General</c:formatCode>
                <c:ptCount val="116"/>
                <c:pt idx="0">
                  <c:v>5.5</c:v>
                </c:pt>
                <c:pt idx="1">
                  <c:v>5.5</c:v>
                </c:pt>
                <c:pt idx="2">
                  <c:v>5.5</c:v>
                </c:pt>
                <c:pt idx="3">
                  <c:v>5.5</c:v>
                </c:pt>
                <c:pt idx="4">
                  <c:v>5.5</c:v>
                </c:pt>
                <c:pt idx="5">
                  <c:v>5.5</c:v>
                </c:pt>
                <c:pt idx="6">
                  <c:v>5.5</c:v>
                </c:pt>
                <c:pt idx="7">
                  <c:v>5.5</c:v>
                </c:pt>
                <c:pt idx="8">
                  <c:v>5.5</c:v>
                </c:pt>
                <c:pt idx="9">
                  <c:v>5.5</c:v>
                </c:pt>
                <c:pt idx="10">
                  <c:v>5.5</c:v>
                </c:pt>
                <c:pt idx="11">
                  <c:v>5.5</c:v>
                </c:pt>
                <c:pt idx="12">
                  <c:v>5.5</c:v>
                </c:pt>
                <c:pt idx="13">
                  <c:v>5.5</c:v>
                </c:pt>
                <c:pt idx="14">
                  <c:v>5.5</c:v>
                </c:pt>
                <c:pt idx="15">
                  <c:v>15.5</c:v>
                </c:pt>
                <c:pt idx="16">
                  <c:v>15.5</c:v>
                </c:pt>
                <c:pt idx="17">
                  <c:v>15.5</c:v>
                </c:pt>
                <c:pt idx="18">
                  <c:v>15.5</c:v>
                </c:pt>
                <c:pt idx="19">
                  <c:v>15.5</c:v>
                </c:pt>
                <c:pt idx="20">
                  <c:v>15.5</c:v>
                </c:pt>
                <c:pt idx="21">
                  <c:v>15.5</c:v>
                </c:pt>
                <c:pt idx="22">
                  <c:v>15.5</c:v>
                </c:pt>
                <c:pt idx="23">
                  <c:v>15.5</c:v>
                </c:pt>
                <c:pt idx="24">
                  <c:v>15.5</c:v>
                </c:pt>
                <c:pt idx="25">
                  <c:v>15.5</c:v>
                </c:pt>
                <c:pt idx="26">
                  <c:v>15.5</c:v>
                </c:pt>
                <c:pt idx="27">
                  <c:v>15.5</c:v>
                </c:pt>
                <c:pt idx="28">
                  <c:v>15.5</c:v>
                </c:pt>
                <c:pt idx="29">
                  <c:v>15.5</c:v>
                </c:pt>
                <c:pt idx="30">
                  <c:v>15.5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35.5</c:v>
                </c:pt>
                <c:pt idx="46">
                  <c:v>35.5</c:v>
                </c:pt>
                <c:pt idx="47">
                  <c:v>35.5</c:v>
                </c:pt>
                <c:pt idx="48">
                  <c:v>35.5</c:v>
                </c:pt>
                <c:pt idx="49">
                  <c:v>35.5</c:v>
                </c:pt>
                <c:pt idx="50">
                  <c:v>35.5</c:v>
                </c:pt>
                <c:pt idx="51">
                  <c:v>35.5</c:v>
                </c:pt>
                <c:pt idx="52">
                  <c:v>35.5</c:v>
                </c:pt>
                <c:pt idx="53">
                  <c:v>35.5</c:v>
                </c:pt>
                <c:pt idx="54">
                  <c:v>35.5</c:v>
                </c:pt>
                <c:pt idx="55">
                  <c:v>35.5</c:v>
                </c:pt>
                <c:pt idx="56">
                  <c:v>35.5</c:v>
                </c:pt>
                <c:pt idx="57">
                  <c:v>35.5</c:v>
                </c:pt>
                <c:pt idx="58">
                  <c:v>35.5</c:v>
                </c:pt>
                <c:pt idx="59">
                  <c:v>45.5</c:v>
                </c:pt>
                <c:pt idx="60">
                  <c:v>45.5</c:v>
                </c:pt>
                <c:pt idx="61">
                  <c:v>45.5</c:v>
                </c:pt>
                <c:pt idx="62">
                  <c:v>45.5</c:v>
                </c:pt>
                <c:pt idx="63">
                  <c:v>45.5</c:v>
                </c:pt>
                <c:pt idx="64">
                  <c:v>45.5</c:v>
                </c:pt>
                <c:pt idx="65">
                  <c:v>45.5</c:v>
                </c:pt>
                <c:pt idx="66">
                  <c:v>45.5</c:v>
                </c:pt>
                <c:pt idx="67">
                  <c:v>45.5</c:v>
                </c:pt>
                <c:pt idx="68">
                  <c:v>45.5</c:v>
                </c:pt>
                <c:pt idx="69">
                  <c:v>45.5</c:v>
                </c:pt>
                <c:pt idx="70">
                  <c:v>45.5</c:v>
                </c:pt>
                <c:pt idx="71">
                  <c:v>45.5</c:v>
                </c:pt>
                <c:pt idx="72">
                  <c:v>45.5</c:v>
                </c:pt>
                <c:pt idx="73">
                  <c:v>55.5</c:v>
                </c:pt>
                <c:pt idx="74">
                  <c:v>55.5</c:v>
                </c:pt>
                <c:pt idx="75">
                  <c:v>55.5</c:v>
                </c:pt>
                <c:pt idx="76">
                  <c:v>55.5</c:v>
                </c:pt>
                <c:pt idx="77">
                  <c:v>55.5</c:v>
                </c:pt>
                <c:pt idx="78">
                  <c:v>55.5</c:v>
                </c:pt>
                <c:pt idx="79">
                  <c:v>55.5</c:v>
                </c:pt>
                <c:pt idx="80">
                  <c:v>55.5</c:v>
                </c:pt>
                <c:pt idx="81">
                  <c:v>55.5</c:v>
                </c:pt>
                <c:pt idx="82">
                  <c:v>55.5</c:v>
                </c:pt>
                <c:pt idx="83">
                  <c:v>55.5</c:v>
                </c:pt>
                <c:pt idx="84">
                  <c:v>65.5</c:v>
                </c:pt>
                <c:pt idx="85">
                  <c:v>65.5</c:v>
                </c:pt>
                <c:pt idx="86">
                  <c:v>65.5</c:v>
                </c:pt>
                <c:pt idx="87">
                  <c:v>65.5</c:v>
                </c:pt>
                <c:pt idx="88">
                  <c:v>65.5</c:v>
                </c:pt>
                <c:pt idx="89">
                  <c:v>65.5</c:v>
                </c:pt>
                <c:pt idx="90">
                  <c:v>65.5</c:v>
                </c:pt>
                <c:pt idx="91">
                  <c:v>65.5</c:v>
                </c:pt>
                <c:pt idx="92">
                  <c:v>65.5</c:v>
                </c:pt>
                <c:pt idx="93">
                  <c:v>65.5</c:v>
                </c:pt>
                <c:pt idx="94">
                  <c:v>65.5</c:v>
                </c:pt>
                <c:pt idx="95">
                  <c:v>65.5</c:v>
                </c:pt>
                <c:pt idx="96">
                  <c:v>65.5</c:v>
                </c:pt>
                <c:pt idx="97">
                  <c:v>75.5</c:v>
                </c:pt>
                <c:pt idx="98">
                  <c:v>75.5</c:v>
                </c:pt>
                <c:pt idx="99">
                  <c:v>75.5</c:v>
                </c:pt>
                <c:pt idx="100">
                  <c:v>75.5</c:v>
                </c:pt>
                <c:pt idx="101">
                  <c:v>75.5</c:v>
                </c:pt>
                <c:pt idx="102">
                  <c:v>75.5</c:v>
                </c:pt>
                <c:pt idx="103">
                  <c:v>75.5</c:v>
                </c:pt>
                <c:pt idx="104">
                  <c:v>75.5</c:v>
                </c:pt>
                <c:pt idx="105">
                  <c:v>75.5</c:v>
                </c:pt>
                <c:pt idx="106">
                  <c:v>75.5</c:v>
                </c:pt>
                <c:pt idx="107">
                  <c:v>85.5</c:v>
                </c:pt>
                <c:pt idx="108">
                  <c:v>85.5</c:v>
                </c:pt>
                <c:pt idx="109">
                  <c:v>85.5</c:v>
                </c:pt>
                <c:pt idx="110">
                  <c:v>85.5</c:v>
                </c:pt>
                <c:pt idx="111">
                  <c:v>85.5</c:v>
                </c:pt>
                <c:pt idx="112">
                  <c:v>85.5</c:v>
                </c:pt>
                <c:pt idx="113">
                  <c:v>85.5</c:v>
                </c:pt>
                <c:pt idx="114">
                  <c:v>85.5</c:v>
                </c:pt>
                <c:pt idx="115">
                  <c:v>85.5</c:v>
                </c:pt>
              </c:numCache>
            </c:numRef>
          </c:xVal>
          <c:yVal>
            <c:numRef>
              <c:f>'Home Dashboard Segment Bubbles'!$E$2:$E$117</c:f>
              <c:numCache>
                <c:formatCode>General</c:formatCode>
                <c:ptCount val="116"/>
                <c:pt idx="0">
                  <c:v>7</c:v>
                </c:pt>
                <c:pt idx="1">
                  <c:v>8</c:v>
                </c:pt>
                <c:pt idx="2">
                  <c:v>9</c:v>
                </c:pt>
                <c:pt idx="3">
                  <c:v>10</c:v>
                </c:pt>
                <c:pt idx="4">
                  <c:v>11</c:v>
                </c:pt>
                <c:pt idx="5">
                  <c:v>12</c:v>
                </c:pt>
                <c:pt idx="6">
                  <c:v>13</c:v>
                </c:pt>
                <c:pt idx="7">
                  <c:v>14</c:v>
                </c:pt>
                <c:pt idx="8">
                  <c:v>15</c:v>
                </c:pt>
                <c:pt idx="9">
                  <c:v>16</c:v>
                </c:pt>
                <c:pt idx="10">
                  <c:v>17</c:v>
                </c:pt>
                <c:pt idx="11">
                  <c:v>18</c:v>
                </c:pt>
                <c:pt idx="12">
                  <c:v>19</c:v>
                </c:pt>
                <c:pt idx="13">
                  <c:v>21</c:v>
                </c:pt>
                <c:pt idx="14">
                  <c:v>22</c:v>
                </c:pt>
                <c:pt idx="15">
                  <c:v>7</c:v>
                </c:pt>
                <c:pt idx="16">
                  <c:v>8</c:v>
                </c:pt>
                <c:pt idx="17">
                  <c:v>9</c:v>
                </c:pt>
                <c:pt idx="18">
                  <c:v>10</c:v>
                </c:pt>
                <c:pt idx="19">
                  <c:v>11</c:v>
                </c:pt>
                <c:pt idx="20">
                  <c:v>12</c:v>
                </c:pt>
                <c:pt idx="21">
                  <c:v>13</c:v>
                </c:pt>
                <c:pt idx="22">
                  <c:v>14</c:v>
                </c:pt>
                <c:pt idx="23">
                  <c:v>15</c:v>
                </c:pt>
                <c:pt idx="24">
                  <c:v>16</c:v>
                </c:pt>
                <c:pt idx="25">
                  <c:v>17</c:v>
                </c:pt>
                <c:pt idx="26">
                  <c:v>18</c:v>
                </c:pt>
                <c:pt idx="27">
                  <c:v>19</c:v>
                </c:pt>
                <c:pt idx="28">
                  <c:v>20</c:v>
                </c:pt>
                <c:pt idx="29">
                  <c:v>22</c:v>
                </c:pt>
                <c:pt idx="30">
                  <c:v>25</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24</c:v>
                </c:pt>
                <c:pt idx="45">
                  <c:v>7</c:v>
                </c:pt>
                <c:pt idx="46">
                  <c:v>8</c:v>
                </c:pt>
                <c:pt idx="47">
                  <c:v>9</c:v>
                </c:pt>
                <c:pt idx="48">
                  <c:v>10</c:v>
                </c:pt>
                <c:pt idx="49">
                  <c:v>11</c:v>
                </c:pt>
                <c:pt idx="50">
                  <c:v>12</c:v>
                </c:pt>
                <c:pt idx="51">
                  <c:v>13</c:v>
                </c:pt>
                <c:pt idx="52">
                  <c:v>14</c:v>
                </c:pt>
                <c:pt idx="53">
                  <c:v>15</c:v>
                </c:pt>
                <c:pt idx="54">
                  <c:v>16</c:v>
                </c:pt>
                <c:pt idx="55">
                  <c:v>17</c:v>
                </c:pt>
                <c:pt idx="56">
                  <c:v>18</c:v>
                </c:pt>
                <c:pt idx="57">
                  <c:v>19</c:v>
                </c:pt>
                <c:pt idx="58">
                  <c:v>21</c:v>
                </c:pt>
                <c:pt idx="59">
                  <c:v>7</c:v>
                </c:pt>
                <c:pt idx="60">
                  <c:v>8</c:v>
                </c:pt>
                <c:pt idx="61">
                  <c:v>9</c:v>
                </c:pt>
                <c:pt idx="62">
                  <c:v>10</c:v>
                </c:pt>
                <c:pt idx="63">
                  <c:v>11</c:v>
                </c:pt>
                <c:pt idx="64">
                  <c:v>12</c:v>
                </c:pt>
                <c:pt idx="65">
                  <c:v>13</c:v>
                </c:pt>
                <c:pt idx="66">
                  <c:v>14</c:v>
                </c:pt>
                <c:pt idx="67">
                  <c:v>15</c:v>
                </c:pt>
                <c:pt idx="68">
                  <c:v>16</c:v>
                </c:pt>
                <c:pt idx="69">
                  <c:v>17</c:v>
                </c:pt>
                <c:pt idx="70">
                  <c:v>18</c:v>
                </c:pt>
                <c:pt idx="71">
                  <c:v>20</c:v>
                </c:pt>
                <c:pt idx="72">
                  <c:v>24</c:v>
                </c:pt>
                <c:pt idx="73">
                  <c:v>7</c:v>
                </c:pt>
                <c:pt idx="74">
                  <c:v>8</c:v>
                </c:pt>
                <c:pt idx="75">
                  <c:v>9</c:v>
                </c:pt>
                <c:pt idx="76">
                  <c:v>10</c:v>
                </c:pt>
                <c:pt idx="77">
                  <c:v>11</c:v>
                </c:pt>
                <c:pt idx="78">
                  <c:v>12</c:v>
                </c:pt>
                <c:pt idx="79">
                  <c:v>13</c:v>
                </c:pt>
                <c:pt idx="80">
                  <c:v>14</c:v>
                </c:pt>
                <c:pt idx="81">
                  <c:v>15</c:v>
                </c:pt>
                <c:pt idx="82">
                  <c:v>16</c:v>
                </c:pt>
                <c:pt idx="83">
                  <c:v>18</c:v>
                </c:pt>
                <c:pt idx="84">
                  <c:v>7</c:v>
                </c:pt>
                <c:pt idx="85">
                  <c:v>8</c:v>
                </c:pt>
                <c:pt idx="86">
                  <c:v>9</c:v>
                </c:pt>
                <c:pt idx="87">
                  <c:v>10</c:v>
                </c:pt>
                <c:pt idx="88">
                  <c:v>11</c:v>
                </c:pt>
                <c:pt idx="89">
                  <c:v>12</c:v>
                </c:pt>
                <c:pt idx="90">
                  <c:v>13</c:v>
                </c:pt>
                <c:pt idx="91">
                  <c:v>14</c:v>
                </c:pt>
                <c:pt idx="92">
                  <c:v>15</c:v>
                </c:pt>
                <c:pt idx="93">
                  <c:v>16</c:v>
                </c:pt>
                <c:pt idx="94">
                  <c:v>17</c:v>
                </c:pt>
                <c:pt idx="95">
                  <c:v>18</c:v>
                </c:pt>
                <c:pt idx="96">
                  <c:v>20</c:v>
                </c:pt>
                <c:pt idx="97">
                  <c:v>7</c:v>
                </c:pt>
                <c:pt idx="98">
                  <c:v>8</c:v>
                </c:pt>
                <c:pt idx="99">
                  <c:v>9</c:v>
                </c:pt>
                <c:pt idx="100">
                  <c:v>10</c:v>
                </c:pt>
                <c:pt idx="101">
                  <c:v>11</c:v>
                </c:pt>
                <c:pt idx="102">
                  <c:v>12</c:v>
                </c:pt>
                <c:pt idx="103">
                  <c:v>13</c:v>
                </c:pt>
                <c:pt idx="104">
                  <c:v>14</c:v>
                </c:pt>
                <c:pt idx="105">
                  <c:v>15</c:v>
                </c:pt>
                <c:pt idx="106">
                  <c:v>16</c:v>
                </c:pt>
                <c:pt idx="107">
                  <c:v>7</c:v>
                </c:pt>
                <c:pt idx="108">
                  <c:v>8</c:v>
                </c:pt>
                <c:pt idx="109">
                  <c:v>9</c:v>
                </c:pt>
                <c:pt idx="110">
                  <c:v>10</c:v>
                </c:pt>
                <c:pt idx="111">
                  <c:v>11</c:v>
                </c:pt>
                <c:pt idx="112">
                  <c:v>12</c:v>
                </c:pt>
                <c:pt idx="113">
                  <c:v>13</c:v>
                </c:pt>
                <c:pt idx="114">
                  <c:v>14</c:v>
                </c:pt>
                <c:pt idx="115">
                  <c:v>16</c:v>
                </c:pt>
              </c:numCache>
            </c:numRef>
          </c:yVal>
          <c:bubbleSize>
            <c:numRef>
              <c:f>'Home Dashboard Segment Bubbles'!$F$2:$F$117</c:f>
              <c:numCache>
                <c:formatCode>General</c:formatCode>
                <c:ptCount val="116"/>
                <c:pt idx="0">
                  <c:v>380</c:v>
                </c:pt>
                <c:pt idx="1">
                  <c:v>264</c:v>
                </c:pt>
                <c:pt idx="2">
                  <c:v>177</c:v>
                </c:pt>
                <c:pt idx="3">
                  <c:v>115</c:v>
                </c:pt>
                <c:pt idx="4">
                  <c:v>58</c:v>
                </c:pt>
                <c:pt idx="5">
                  <c:v>35</c:v>
                </c:pt>
                <c:pt idx="6">
                  <c:v>18</c:v>
                </c:pt>
                <c:pt idx="7">
                  <c:v>17</c:v>
                </c:pt>
                <c:pt idx="8">
                  <c:v>9</c:v>
                </c:pt>
                <c:pt idx="9">
                  <c:v>8</c:v>
                </c:pt>
                <c:pt idx="10">
                  <c:v>6</c:v>
                </c:pt>
                <c:pt idx="11">
                  <c:v>2</c:v>
                </c:pt>
                <c:pt idx="12">
                  <c:v>3</c:v>
                </c:pt>
                <c:pt idx="13">
                  <c:v>1</c:v>
                </c:pt>
                <c:pt idx="14">
                  <c:v>1</c:v>
                </c:pt>
                <c:pt idx="15">
                  <c:v>342</c:v>
                </c:pt>
                <c:pt idx="16">
                  <c:v>274</c:v>
                </c:pt>
                <c:pt idx="17">
                  <c:v>164</c:v>
                </c:pt>
                <c:pt idx="18">
                  <c:v>101</c:v>
                </c:pt>
                <c:pt idx="19">
                  <c:v>61</c:v>
                </c:pt>
                <c:pt idx="20">
                  <c:v>34</c:v>
                </c:pt>
                <c:pt idx="21">
                  <c:v>24</c:v>
                </c:pt>
                <c:pt idx="22">
                  <c:v>10</c:v>
                </c:pt>
                <c:pt idx="23">
                  <c:v>8</c:v>
                </c:pt>
                <c:pt idx="24">
                  <c:v>5</c:v>
                </c:pt>
                <c:pt idx="25">
                  <c:v>3</c:v>
                </c:pt>
                <c:pt idx="26">
                  <c:v>2</c:v>
                </c:pt>
                <c:pt idx="27">
                  <c:v>1</c:v>
                </c:pt>
                <c:pt idx="28">
                  <c:v>1</c:v>
                </c:pt>
                <c:pt idx="29">
                  <c:v>1</c:v>
                </c:pt>
                <c:pt idx="30">
                  <c:v>1</c:v>
                </c:pt>
                <c:pt idx="31">
                  <c:v>324</c:v>
                </c:pt>
                <c:pt idx="32">
                  <c:v>220</c:v>
                </c:pt>
                <c:pt idx="33">
                  <c:v>150</c:v>
                </c:pt>
                <c:pt idx="34">
                  <c:v>88</c:v>
                </c:pt>
                <c:pt idx="35">
                  <c:v>49</c:v>
                </c:pt>
                <c:pt idx="36">
                  <c:v>21</c:v>
                </c:pt>
                <c:pt idx="37">
                  <c:v>22</c:v>
                </c:pt>
                <c:pt idx="38">
                  <c:v>11</c:v>
                </c:pt>
                <c:pt idx="39">
                  <c:v>6</c:v>
                </c:pt>
                <c:pt idx="40">
                  <c:v>7</c:v>
                </c:pt>
                <c:pt idx="41">
                  <c:v>2</c:v>
                </c:pt>
                <c:pt idx="42">
                  <c:v>1</c:v>
                </c:pt>
                <c:pt idx="43">
                  <c:v>3</c:v>
                </c:pt>
                <c:pt idx="44">
                  <c:v>1</c:v>
                </c:pt>
                <c:pt idx="45">
                  <c:v>314</c:v>
                </c:pt>
                <c:pt idx="46">
                  <c:v>227</c:v>
                </c:pt>
                <c:pt idx="47">
                  <c:v>139</c:v>
                </c:pt>
                <c:pt idx="48">
                  <c:v>71</c:v>
                </c:pt>
                <c:pt idx="49">
                  <c:v>56</c:v>
                </c:pt>
                <c:pt idx="50">
                  <c:v>22</c:v>
                </c:pt>
                <c:pt idx="51">
                  <c:v>13</c:v>
                </c:pt>
                <c:pt idx="52">
                  <c:v>9</c:v>
                </c:pt>
                <c:pt idx="53">
                  <c:v>7</c:v>
                </c:pt>
                <c:pt idx="54">
                  <c:v>3</c:v>
                </c:pt>
                <c:pt idx="55">
                  <c:v>1</c:v>
                </c:pt>
                <c:pt idx="56">
                  <c:v>3</c:v>
                </c:pt>
                <c:pt idx="57">
                  <c:v>1</c:v>
                </c:pt>
                <c:pt idx="58">
                  <c:v>1</c:v>
                </c:pt>
                <c:pt idx="59">
                  <c:v>266</c:v>
                </c:pt>
                <c:pt idx="60">
                  <c:v>184</c:v>
                </c:pt>
                <c:pt idx="61">
                  <c:v>123</c:v>
                </c:pt>
                <c:pt idx="62">
                  <c:v>90</c:v>
                </c:pt>
                <c:pt idx="63">
                  <c:v>42</c:v>
                </c:pt>
                <c:pt idx="64">
                  <c:v>22</c:v>
                </c:pt>
                <c:pt idx="65">
                  <c:v>12</c:v>
                </c:pt>
                <c:pt idx="66">
                  <c:v>8</c:v>
                </c:pt>
                <c:pt idx="67">
                  <c:v>1</c:v>
                </c:pt>
                <c:pt idx="68">
                  <c:v>1</c:v>
                </c:pt>
                <c:pt idx="69">
                  <c:v>3</c:v>
                </c:pt>
                <c:pt idx="70">
                  <c:v>1</c:v>
                </c:pt>
                <c:pt idx="71">
                  <c:v>2</c:v>
                </c:pt>
                <c:pt idx="72">
                  <c:v>1</c:v>
                </c:pt>
                <c:pt idx="73">
                  <c:v>264</c:v>
                </c:pt>
                <c:pt idx="74">
                  <c:v>172</c:v>
                </c:pt>
                <c:pt idx="75">
                  <c:v>113</c:v>
                </c:pt>
                <c:pt idx="76">
                  <c:v>75</c:v>
                </c:pt>
                <c:pt idx="77">
                  <c:v>39</c:v>
                </c:pt>
                <c:pt idx="78">
                  <c:v>21</c:v>
                </c:pt>
                <c:pt idx="79">
                  <c:v>14</c:v>
                </c:pt>
                <c:pt idx="80">
                  <c:v>6</c:v>
                </c:pt>
                <c:pt idx="81">
                  <c:v>8</c:v>
                </c:pt>
                <c:pt idx="82">
                  <c:v>5</c:v>
                </c:pt>
                <c:pt idx="83">
                  <c:v>1</c:v>
                </c:pt>
                <c:pt idx="84">
                  <c:v>234</c:v>
                </c:pt>
                <c:pt idx="85">
                  <c:v>181</c:v>
                </c:pt>
                <c:pt idx="86">
                  <c:v>111</c:v>
                </c:pt>
                <c:pt idx="87">
                  <c:v>57</c:v>
                </c:pt>
                <c:pt idx="88">
                  <c:v>31</c:v>
                </c:pt>
                <c:pt idx="89">
                  <c:v>19</c:v>
                </c:pt>
                <c:pt idx="90">
                  <c:v>14</c:v>
                </c:pt>
                <c:pt idx="91">
                  <c:v>7</c:v>
                </c:pt>
                <c:pt idx="92">
                  <c:v>2</c:v>
                </c:pt>
                <c:pt idx="93">
                  <c:v>3</c:v>
                </c:pt>
                <c:pt idx="94">
                  <c:v>1</c:v>
                </c:pt>
                <c:pt idx="95">
                  <c:v>1</c:v>
                </c:pt>
                <c:pt idx="96">
                  <c:v>1</c:v>
                </c:pt>
                <c:pt idx="97">
                  <c:v>213</c:v>
                </c:pt>
                <c:pt idx="98">
                  <c:v>148</c:v>
                </c:pt>
                <c:pt idx="99">
                  <c:v>88</c:v>
                </c:pt>
                <c:pt idx="100">
                  <c:v>42</c:v>
                </c:pt>
                <c:pt idx="101">
                  <c:v>21</c:v>
                </c:pt>
                <c:pt idx="102">
                  <c:v>9</c:v>
                </c:pt>
                <c:pt idx="103">
                  <c:v>7</c:v>
                </c:pt>
                <c:pt idx="104">
                  <c:v>4</c:v>
                </c:pt>
                <c:pt idx="105">
                  <c:v>4</c:v>
                </c:pt>
                <c:pt idx="106">
                  <c:v>5</c:v>
                </c:pt>
                <c:pt idx="107">
                  <c:v>220</c:v>
                </c:pt>
                <c:pt idx="108">
                  <c:v>134</c:v>
                </c:pt>
                <c:pt idx="109">
                  <c:v>67</c:v>
                </c:pt>
                <c:pt idx="110">
                  <c:v>46</c:v>
                </c:pt>
                <c:pt idx="111">
                  <c:v>33</c:v>
                </c:pt>
                <c:pt idx="112">
                  <c:v>10</c:v>
                </c:pt>
                <c:pt idx="113">
                  <c:v>10</c:v>
                </c:pt>
                <c:pt idx="114">
                  <c:v>2</c:v>
                </c:pt>
                <c:pt idx="115">
                  <c:v>2</c:v>
                </c:pt>
              </c:numCache>
            </c:numRef>
          </c:bubbleSize>
          <c:bubble3D val="0"/>
          <c:extLst>
            <c:ext xmlns:c16="http://schemas.microsoft.com/office/drawing/2014/chart" uri="{C3380CC4-5D6E-409C-BE32-E72D297353CC}">
              <c16:uniqueId val="{00000000-0280-40FA-87BC-47541E5A69DD}"/>
            </c:ext>
          </c:extLst>
        </c:ser>
        <c:ser>
          <c:idx val="1"/>
          <c:order val="1"/>
          <c:tx>
            <c:v>Loyal but Cooling</c:v>
          </c:tx>
          <c:spPr>
            <a:solidFill>
              <a:schemeClr val="accent2">
                <a:alpha val="75000"/>
              </a:schemeClr>
            </a:solidFill>
            <a:ln w="25400">
              <a:noFill/>
            </a:ln>
            <a:effectLst/>
          </c:spPr>
          <c:invertIfNegative val="0"/>
          <c:xVal>
            <c:numRef>
              <c:f>'Home Dashboard Segment Bubbles'!$D$118:$D$347</c:f>
              <c:numCache>
                <c:formatCode>General</c:formatCode>
                <c:ptCount val="230"/>
                <c:pt idx="0">
                  <c:v>95.5</c:v>
                </c:pt>
                <c:pt idx="1">
                  <c:v>95.5</c:v>
                </c:pt>
                <c:pt idx="2">
                  <c:v>95.5</c:v>
                </c:pt>
                <c:pt idx="3">
                  <c:v>95.5</c:v>
                </c:pt>
                <c:pt idx="4">
                  <c:v>95.5</c:v>
                </c:pt>
                <c:pt idx="5">
                  <c:v>95.5</c:v>
                </c:pt>
                <c:pt idx="6">
                  <c:v>95.5</c:v>
                </c:pt>
                <c:pt idx="7">
                  <c:v>95.5</c:v>
                </c:pt>
                <c:pt idx="8">
                  <c:v>95.5</c:v>
                </c:pt>
                <c:pt idx="9">
                  <c:v>95.5</c:v>
                </c:pt>
                <c:pt idx="10">
                  <c:v>95.5</c:v>
                </c:pt>
                <c:pt idx="11">
                  <c:v>105.5</c:v>
                </c:pt>
                <c:pt idx="12">
                  <c:v>105.5</c:v>
                </c:pt>
                <c:pt idx="13">
                  <c:v>105.5</c:v>
                </c:pt>
                <c:pt idx="14">
                  <c:v>105.5</c:v>
                </c:pt>
                <c:pt idx="15">
                  <c:v>105.5</c:v>
                </c:pt>
                <c:pt idx="16">
                  <c:v>105.5</c:v>
                </c:pt>
                <c:pt idx="17">
                  <c:v>105.5</c:v>
                </c:pt>
                <c:pt idx="18">
                  <c:v>105.5</c:v>
                </c:pt>
                <c:pt idx="19">
                  <c:v>105.5</c:v>
                </c:pt>
                <c:pt idx="20">
                  <c:v>105.5</c:v>
                </c:pt>
                <c:pt idx="21">
                  <c:v>105.5</c:v>
                </c:pt>
                <c:pt idx="22">
                  <c:v>115.5</c:v>
                </c:pt>
                <c:pt idx="23">
                  <c:v>115.5</c:v>
                </c:pt>
                <c:pt idx="24">
                  <c:v>115.5</c:v>
                </c:pt>
                <c:pt idx="25">
                  <c:v>115.5</c:v>
                </c:pt>
                <c:pt idx="26">
                  <c:v>115.5</c:v>
                </c:pt>
                <c:pt idx="27">
                  <c:v>115.5</c:v>
                </c:pt>
                <c:pt idx="28">
                  <c:v>115.5</c:v>
                </c:pt>
                <c:pt idx="29">
                  <c:v>115.5</c:v>
                </c:pt>
                <c:pt idx="30">
                  <c:v>115.5</c:v>
                </c:pt>
                <c:pt idx="31">
                  <c:v>115.5</c:v>
                </c:pt>
                <c:pt idx="32">
                  <c:v>115.5</c:v>
                </c:pt>
                <c:pt idx="33">
                  <c:v>125.5</c:v>
                </c:pt>
                <c:pt idx="34">
                  <c:v>125.5</c:v>
                </c:pt>
                <c:pt idx="35">
                  <c:v>125.5</c:v>
                </c:pt>
                <c:pt idx="36">
                  <c:v>125.5</c:v>
                </c:pt>
                <c:pt idx="37">
                  <c:v>125.5</c:v>
                </c:pt>
                <c:pt idx="38">
                  <c:v>125.5</c:v>
                </c:pt>
                <c:pt idx="39">
                  <c:v>125.5</c:v>
                </c:pt>
                <c:pt idx="40">
                  <c:v>125.5</c:v>
                </c:pt>
                <c:pt idx="41">
                  <c:v>125.5</c:v>
                </c:pt>
                <c:pt idx="42">
                  <c:v>125.5</c:v>
                </c:pt>
                <c:pt idx="43">
                  <c:v>135.5</c:v>
                </c:pt>
                <c:pt idx="44">
                  <c:v>135.5</c:v>
                </c:pt>
                <c:pt idx="45">
                  <c:v>135.5</c:v>
                </c:pt>
                <c:pt idx="46">
                  <c:v>135.5</c:v>
                </c:pt>
                <c:pt idx="47">
                  <c:v>135.5</c:v>
                </c:pt>
                <c:pt idx="48">
                  <c:v>135.5</c:v>
                </c:pt>
                <c:pt idx="49">
                  <c:v>135.5</c:v>
                </c:pt>
                <c:pt idx="50">
                  <c:v>135.5</c:v>
                </c:pt>
                <c:pt idx="51">
                  <c:v>145.5</c:v>
                </c:pt>
                <c:pt idx="52">
                  <c:v>145.5</c:v>
                </c:pt>
                <c:pt idx="53">
                  <c:v>145.5</c:v>
                </c:pt>
                <c:pt idx="54">
                  <c:v>145.5</c:v>
                </c:pt>
                <c:pt idx="55">
                  <c:v>145.5</c:v>
                </c:pt>
                <c:pt idx="56">
                  <c:v>145.5</c:v>
                </c:pt>
                <c:pt idx="57">
                  <c:v>145.5</c:v>
                </c:pt>
                <c:pt idx="58">
                  <c:v>145.5</c:v>
                </c:pt>
                <c:pt idx="59">
                  <c:v>145.5</c:v>
                </c:pt>
                <c:pt idx="60">
                  <c:v>155.5</c:v>
                </c:pt>
                <c:pt idx="61">
                  <c:v>155.5</c:v>
                </c:pt>
                <c:pt idx="62">
                  <c:v>155.5</c:v>
                </c:pt>
                <c:pt idx="63">
                  <c:v>155.5</c:v>
                </c:pt>
                <c:pt idx="64">
                  <c:v>155.5</c:v>
                </c:pt>
                <c:pt idx="65">
                  <c:v>155.5</c:v>
                </c:pt>
                <c:pt idx="66">
                  <c:v>155.5</c:v>
                </c:pt>
                <c:pt idx="67">
                  <c:v>155.5</c:v>
                </c:pt>
                <c:pt idx="68">
                  <c:v>165.5</c:v>
                </c:pt>
                <c:pt idx="69">
                  <c:v>165.5</c:v>
                </c:pt>
                <c:pt idx="70">
                  <c:v>165.5</c:v>
                </c:pt>
                <c:pt idx="71">
                  <c:v>165.5</c:v>
                </c:pt>
                <c:pt idx="72">
                  <c:v>165.5</c:v>
                </c:pt>
                <c:pt idx="73">
                  <c:v>165.5</c:v>
                </c:pt>
                <c:pt idx="74">
                  <c:v>165.5</c:v>
                </c:pt>
                <c:pt idx="75">
                  <c:v>165.5</c:v>
                </c:pt>
                <c:pt idx="76">
                  <c:v>165.5</c:v>
                </c:pt>
                <c:pt idx="77">
                  <c:v>165.5</c:v>
                </c:pt>
                <c:pt idx="78">
                  <c:v>175.5</c:v>
                </c:pt>
                <c:pt idx="79">
                  <c:v>175.5</c:v>
                </c:pt>
                <c:pt idx="80">
                  <c:v>175.5</c:v>
                </c:pt>
                <c:pt idx="81">
                  <c:v>175.5</c:v>
                </c:pt>
                <c:pt idx="82">
                  <c:v>175.5</c:v>
                </c:pt>
                <c:pt idx="83">
                  <c:v>175.5</c:v>
                </c:pt>
                <c:pt idx="84">
                  <c:v>175.5</c:v>
                </c:pt>
                <c:pt idx="85">
                  <c:v>175.5</c:v>
                </c:pt>
                <c:pt idx="86">
                  <c:v>185.5</c:v>
                </c:pt>
                <c:pt idx="87">
                  <c:v>185.5</c:v>
                </c:pt>
                <c:pt idx="88">
                  <c:v>185.5</c:v>
                </c:pt>
                <c:pt idx="89">
                  <c:v>185.5</c:v>
                </c:pt>
                <c:pt idx="90">
                  <c:v>185.5</c:v>
                </c:pt>
                <c:pt idx="91">
                  <c:v>185.5</c:v>
                </c:pt>
                <c:pt idx="92">
                  <c:v>185.5</c:v>
                </c:pt>
                <c:pt idx="93">
                  <c:v>195.5</c:v>
                </c:pt>
                <c:pt idx="94">
                  <c:v>195.5</c:v>
                </c:pt>
                <c:pt idx="95">
                  <c:v>195.5</c:v>
                </c:pt>
                <c:pt idx="96">
                  <c:v>195.5</c:v>
                </c:pt>
                <c:pt idx="97">
                  <c:v>195.5</c:v>
                </c:pt>
                <c:pt idx="98">
                  <c:v>195.5</c:v>
                </c:pt>
                <c:pt idx="99">
                  <c:v>205.5</c:v>
                </c:pt>
                <c:pt idx="100">
                  <c:v>205.5</c:v>
                </c:pt>
                <c:pt idx="101">
                  <c:v>205.5</c:v>
                </c:pt>
                <c:pt idx="102">
                  <c:v>205.5</c:v>
                </c:pt>
                <c:pt idx="103">
                  <c:v>205.5</c:v>
                </c:pt>
                <c:pt idx="104">
                  <c:v>205.5</c:v>
                </c:pt>
                <c:pt idx="105">
                  <c:v>205.5</c:v>
                </c:pt>
                <c:pt idx="106">
                  <c:v>205.5</c:v>
                </c:pt>
                <c:pt idx="107">
                  <c:v>215.5</c:v>
                </c:pt>
                <c:pt idx="108">
                  <c:v>215.5</c:v>
                </c:pt>
                <c:pt idx="109">
                  <c:v>215.5</c:v>
                </c:pt>
                <c:pt idx="110">
                  <c:v>215.5</c:v>
                </c:pt>
                <c:pt idx="111">
                  <c:v>215.5</c:v>
                </c:pt>
                <c:pt idx="112">
                  <c:v>215.5</c:v>
                </c:pt>
                <c:pt idx="113">
                  <c:v>225.5</c:v>
                </c:pt>
                <c:pt idx="114">
                  <c:v>225.5</c:v>
                </c:pt>
                <c:pt idx="115">
                  <c:v>225.5</c:v>
                </c:pt>
                <c:pt idx="116">
                  <c:v>225.5</c:v>
                </c:pt>
                <c:pt idx="117">
                  <c:v>225.5</c:v>
                </c:pt>
                <c:pt idx="118">
                  <c:v>225.5</c:v>
                </c:pt>
                <c:pt idx="119">
                  <c:v>225.5</c:v>
                </c:pt>
                <c:pt idx="120">
                  <c:v>235.5</c:v>
                </c:pt>
                <c:pt idx="121">
                  <c:v>235.5</c:v>
                </c:pt>
                <c:pt idx="122">
                  <c:v>235.5</c:v>
                </c:pt>
                <c:pt idx="123">
                  <c:v>235.5</c:v>
                </c:pt>
                <c:pt idx="124">
                  <c:v>235.5</c:v>
                </c:pt>
                <c:pt idx="125">
                  <c:v>235.5</c:v>
                </c:pt>
                <c:pt idx="126">
                  <c:v>245.5</c:v>
                </c:pt>
                <c:pt idx="127">
                  <c:v>245.5</c:v>
                </c:pt>
                <c:pt idx="128">
                  <c:v>245.5</c:v>
                </c:pt>
                <c:pt idx="129">
                  <c:v>245.5</c:v>
                </c:pt>
                <c:pt idx="130">
                  <c:v>245.5</c:v>
                </c:pt>
                <c:pt idx="131">
                  <c:v>245.5</c:v>
                </c:pt>
                <c:pt idx="132">
                  <c:v>255.5</c:v>
                </c:pt>
                <c:pt idx="133">
                  <c:v>255.5</c:v>
                </c:pt>
                <c:pt idx="134">
                  <c:v>255.5</c:v>
                </c:pt>
                <c:pt idx="135">
                  <c:v>255.5</c:v>
                </c:pt>
                <c:pt idx="136">
                  <c:v>255.5</c:v>
                </c:pt>
                <c:pt idx="137">
                  <c:v>255.5</c:v>
                </c:pt>
                <c:pt idx="138">
                  <c:v>265.5</c:v>
                </c:pt>
                <c:pt idx="139">
                  <c:v>265.5</c:v>
                </c:pt>
                <c:pt idx="140">
                  <c:v>265.5</c:v>
                </c:pt>
                <c:pt idx="141">
                  <c:v>265.5</c:v>
                </c:pt>
                <c:pt idx="142">
                  <c:v>265.5</c:v>
                </c:pt>
                <c:pt idx="143">
                  <c:v>265.5</c:v>
                </c:pt>
                <c:pt idx="144">
                  <c:v>275.5</c:v>
                </c:pt>
                <c:pt idx="145">
                  <c:v>275.5</c:v>
                </c:pt>
                <c:pt idx="146">
                  <c:v>275.5</c:v>
                </c:pt>
                <c:pt idx="147">
                  <c:v>275.5</c:v>
                </c:pt>
                <c:pt idx="148">
                  <c:v>275.5</c:v>
                </c:pt>
                <c:pt idx="149">
                  <c:v>285.5</c:v>
                </c:pt>
                <c:pt idx="150">
                  <c:v>285.5</c:v>
                </c:pt>
                <c:pt idx="151">
                  <c:v>285.5</c:v>
                </c:pt>
                <c:pt idx="152">
                  <c:v>285.5</c:v>
                </c:pt>
                <c:pt idx="153">
                  <c:v>285.5</c:v>
                </c:pt>
                <c:pt idx="154">
                  <c:v>285.5</c:v>
                </c:pt>
                <c:pt idx="155">
                  <c:v>295.5</c:v>
                </c:pt>
                <c:pt idx="156">
                  <c:v>295.5</c:v>
                </c:pt>
                <c:pt idx="157">
                  <c:v>295.5</c:v>
                </c:pt>
                <c:pt idx="158">
                  <c:v>295.5</c:v>
                </c:pt>
                <c:pt idx="159">
                  <c:v>295.5</c:v>
                </c:pt>
                <c:pt idx="160">
                  <c:v>295.5</c:v>
                </c:pt>
                <c:pt idx="161">
                  <c:v>305.5</c:v>
                </c:pt>
                <c:pt idx="162">
                  <c:v>305.5</c:v>
                </c:pt>
                <c:pt idx="163">
                  <c:v>305.5</c:v>
                </c:pt>
                <c:pt idx="164">
                  <c:v>305.5</c:v>
                </c:pt>
                <c:pt idx="165">
                  <c:v>305.5</c:v>
                </c:pt>
                <c:pt idx="166">
                  <c:v>305.5</c:v>
                </c:pt>
                <c:pt idx="167">
                  <c:v>305.5</c:v>
                </c:pt>
                <c:pt idx="168">
                  <c:v>315.5</c:v>
                </c:pt>
                <c:pt idx="169">
                  <c:v>315.5</c:v>
                </c:pt>
                <c:pt idx="170">
                  <c:v>315.5</c:v>
                </c:pt>
                <c:pt idx="171">
                  <c:v>315.5</c:v>
                </c:pt>
                <c:pt idx="172">
                  <c:v>315.5</c:v>
                </c:pt>
                <c:pt idx="173">
                  <c:v>315.5</c:v>
                </c:pt>
                <c:pt idx="174">
                  <c:v>325.5</c:v>
                </c:pt>
                <c:pt idx="175">
                  <c:v>325.5</c:v>
                </c:pt>
                <c:pt idx="176">
                  <c:v>325.5</c:v>
                </c:pt>
                <c:pt idx="177">
                  <c:v>325.5</c:v>
                </c:pt>
                <c:pt idx="178">
                  <c:v>335.5</c:v>
                </c:pt>
                <c:pt idx="179">
                  <c:v>335.5</c:v>
                </c:pt>
                <c:pt idx="180">
                  <c:v>335.5</c:v>
                </c:pt>
                <c:pt idx="181">
                  <c:v>335.5</c:v>
                </c:pt>
                <c:pt idx="182">
                  <c:v>345.5</c:v>
                </c:pt>
                <c:pt idx="183">
                  <c:v>345.5</c:v>
                </c:pt>
                <c:pt idx="184">
                  <c:v>345.5</c:v>
                </c:pt>
                <c:pt idx="185">
                  <c:v>345.5</c:v>
                </c:pt>
                <c:pt idx="186">
                  <c:v>355.5</c:v>
                </c:pt>
                <c:pt idx="187">
                  <c:v>355.5</c:v>
                </c:pt>
                <c:pt idx="188">
                  <c:v>355.5</c:v>
                </c:pt>
                <c:pt idx="189">
                  <c:v>355.5</c:v>
                </c:pt>
                <c:pt idx="190">
                  <c:v>355.5</c:v>
                </c:pt>
                <c:pt idx="191">
                  <c:v>365.5</c:v>
                </c:pt>
                <c:pt idx="192">
                  <c:v>365.5</c:v>
                </c:pt>
                <c:pt idx="193">
                  <c:v>375.5</c:v>
                </c:pt>
                <c:pt idx="194">
                  <c:v>375.5</c:v>
                </c:pt>
                <c:pt idx="195">
                  <c:v>375.5</c:v>
                </c:pt>
                <c:pt idx="196">
                  <c:v>375.5</c:v>
                </c:pt>
                <c:pt idx="197">
                  <c:v>385.5</c:v>
                </c:pt>
                <c:pt idx="198">
                  <c:v>385.5</c:v>
                </c:pt>
                <c:pt idx="199">
                  <c:v>385.5</c:v>
                </c:pt>
                <c:pt idx="200">
                  <c:v>395.5</c:v>
                </c:pt>
                <c:pt idx="201">
                  <c:v>395.5</c:v>
                </c:pt>
                <c:pt idx="202">
                  <c:v>405.5</c:v>
                </c:pt>
                <c:pt idx="203">
                  <c:v>405.5</c:v>
                </c:pt>
                <c:pt idx="204">
                  <c:v>405.5</c:v>
                </c:pt>
                <c:pt idx="205">
                  <c:v>415.5</c:v>
                </c:pt>
                <c:pt idx="206">
                  <c:v>415.5</c:v>
                </c:pt>
                <c:pt idx="207">
                  <c:v>415.5</c:v>
                </c:pt>
                <c:pt idx="208">
                  <c:v>425.5</c:v>
                </c:pt>
                <c:pt idx="209">
                  <c:v>425.5</c:v>
                </c:pt>
                <c:pt idx="210">
                  <c:v>425.5</c:v>
                </c:pt>
                <c:pt idx="211">
                  <c:v>435.5</c:v>
                </c:pt>
                <c:pt idx="212">
                  <c:v>435.5</c:v>
                </c:pt>
                <c:pt idx="213">
                  <c:v>445.5</c:v>
                </c:pt>
                <c:pt idx="214">
                  <c:v>445.5</c:v>
                </c:pt>
                <c:pt idx="215">
                  <c:v>455.5</c:v>
                </c:pt>
                <c:pt idx="216">
                  <c:v>455.5</c:v>
                </c:pt>
                <c:pt idx="217">
                  <c:v>455.5</c:v>
                </c:pt>
                <c:pt idx="218">
                  <c:v>465.5</c:v>
                </c:pt>
                <c:pt idx="219">
                  <c:v>465.5</c:v>
                </c:pt>
                <c:pt idx="220">
                  <c:v>475.5</c:v>
                </c:pt>
                <c:pt idx="221">
                  <c:v>475.5</c:v>
                </c:pt>
                <c:pt idx="222">
                  <c:v>485.5</c:v>
                </c:pt>
                <c:pt idx="223">
                  <c:v>505.5</c:v>
                </c:pt>
                <c:pt idx="224">
                  <c:v>515.5</c:v>
                </c:pt>
                <c:pt idx="225">
                  <c:v>525.5</c:v>
                </c:pt>
                <c:pt idx="226">
                  <c:v>525.5</c:v>
                </c:pt>
                <c:pt idx="227">
                  <c:v>535.5</c:v>
                </c:pt>
                <c:pt idx="228">
                  <c:v>575.5</c:v>
                </c:pt>
                <c:pt idx="229">
                  <c:v>605.5</c:v>
                </c:pt>
              </c:numCache>
            </c:numRef>
          </c:xVal>
          <c:yVal>
            <c:numRef>
              <c:f>'Home Dashboard Segment Bubbles'!$E$118:$E$347</c:f>
              <c:numCache>
                <c:formatCode>General</c:formatCode>
                <c:ptCount val="230"/>
                <c:pt idx="0">
                  <c:v>7</c:v>
                </c:pt>
                <c:pt idx="1">
                  <c:v>8</c:v>
                </c:pt>
                <c:pt idx="2">
                  <c:v>9</c:v>
                </c:pt>
                <c:pt idx="3">
                  <c:v>10</c:v>
                </c:pt>
                <c:pt idx="4">
                  <c:v>11</c:v>
                </c:pt>
                <c:pt idx="5">
                  <c:v>12</c:v>
                </c:pt>
                <c:pt idx="6">
                  <c:v>13</c:v>
                </c:pt>
                <c:pt idx="7">
                  <c:v>14</c:v>
                </c:pt>
                <c:pt idx="8">
                  <c:v>15</c:v>
                </c:pt>
                <c:pt idx="9">
                  <c:v>16</c:v>
                </c:pt>
                <c:pt idx="10">
                  <c:v>17</c:v>
                </c:pt>
                <c:pt idx="11">
                  <c:v>7</c:v>
                </c:pt>
                <c:pt idx="12">
                  <c:v>8</c:v>
                </c:pt>
                <c:pt idx="13">
                  <c:v>9</c:v>
                </c:pt>
                <c:pt idx="14">
                  <c:v>10</c:v>
                </c:pt>
                <c:pt idx="15">
                  <c:v>11</c:v>
                </c:pt>
                <c:pt idx="16">
                  <c:v>12</c:v>
                </c:pt>
                <c:pt idx="17">
                  <c:v>13</c:v>
                </c:pt>
                <c:pt idx="18">
                  <c:v>14</c:v>
                </c:pt>
                <c:pt idx="19">
                  <c:v>15</c:v>
                </c:pt>
                <c:pt idx="20">
                  <c:v>16</c:v>
                </c:pt>
                <c:pt idx="21">
                  <c:v>18</c:v>
                </c:pt>
                <c:pt idx="22">
                  <c:v>7</c:v>
                </c:pt>
                <c:pt idx="23">
                  <c:v>8</c:v>
                </c:pt>
                <c:pt idx="24">
                  <c:v>9</c:v>
                </c:pt>
                <c:pt idx="25">
                  <c:v>10</c:v>
                </c:pt>
                <c:pt idx="26">
                  <c:v>11</c:v>
                </c:pt>
                <c:pt idx="27">
                  <c:v>12</c:v>
                </c:pt>
                <c:pt idx="28">
                  <c:v>13</c:v>
                </c:pt>
                <c:pt idx="29">
                  <c:v>15</c:v>
                </c:pt>
                <c:pt idx="30">
                  <c:v>16</c:v>
                </c:pt>
                <c:pt idx="31">
                  <c:v>17</c:v>
                </c:pt>
                <c:pt idx="32">
                  <c:v>18</c:v>
                </c:pt>
                <c:pt idx="33">
                  <c:v>7</c:v>
                </c:pt>
                <c:pt idx="34">
                  <c:v>8</c:v>
                </c:pt>
                <c:pt idx="35">
                  <c:v>9</c:v>
                </c:pt>
                <c:pt idx="36">
                  <c:v>10</c:v>
                </c:pt>
                <c:pt idx="37">
                  <c:v>11</c:v>
                </c:pt>
                <c:pt idx="38">
                  <c:v>12</c:v>
                </c:pt>
                <c:pt idx="39">
                  <c:v>13</c:v>
                </c:pt>
                <c:pt idx="40">
                  <c:v>14</c:v>
                </c:pt>
                <c:pt idx="41">
                  <c:v>15</c:v>
                </c:pt>
                <c:pt idx="42">
                  <c:v>17</c:v>
                </c:pt>
                <c:pt idx="43">
                  <c:v>7</c:v>
                </c:pt>
                <c:pt idx="44">
                  <c:v>8</c:v>
                </c:pt>
                <c:pt idx="45">
                  <c:v>9</c:v>
                </c:pt>
                <c:pt idx="46">
                  <c:v>10</c:v>
                </c:pt>
                <c:pt idx="47">
                  <c:v>11</c:v>
                </c:pt>
                <c:pt idx="48">
                  <c:v>12</c:v>
                </c:pt>
                <c:pt idx="49">
                  <c:v>13</c:v>
                </c:pt>
                <c:pt idx="50">
                  <c:v>14</c:v>
                </c:pt>
                <c:pt idx="51">
                  <c:v>7</c:v>
                </c:pt>
                <c:pt idx="52">
                  <c:v>8</c:v>
                </c:pt>
                <c:pt idx="53">
                  <c:v>9</c:v>
                </c:pt>
                <c:pt idx="54">
                  <c:v>10</c:v>
                </c:pt>
                <c:pt idx="55">
                  <c:v>11</c:v>
                </c:pt>
                <c:pt idx="56">
                  <c:v>12</c:v>
                </c:pt>
                <c:pt idx="57">
                  <c:v>13</c:v>
                </c:pt>
                <c:pt idx="58">
                  <c:v>15</c:v>
                </c:pt>
                <c:pt idx="59">
                  <c:v>16</c:v>
                </c:pt>
                <c:pt idx="60">
                  <c:v>7</c:v>
                </c:pt>
                <c:pt idx="61">
                  <c:v>8</c:v>
                </c:pt>
                <c:pt idx="62">
                  <c:v>9</c:v>
                </c:pt>
                <c:pt idx="63">
                  <c:v>10</c:v>
                </c:pt>
                <c:pt idx="64">
                  <c:v>11</c:v>
                </c:pt>
                <c:pt idx="65">
                  <c:v>12</c:v>
                </c:pt>
                <c:pt idx="66">
                  <c:v>15</c:v>
                </c:pt>
                <c:pt idx="67">
                  <c:v>17</c:v>
                </c:pt>
                <c:pt idx="68">
                  <c:v>7</c:v>
                </c:pt>
                <c:pt idx="69">
                  <c:v>8</c:v>
                </c:pt>
                <c:pt idx="70">
                  <c:v>9</c:v>
                </c:pt>
                <c:pt idx="71">
                  <c:v>10</c:v>
                </c:pt>
                <c:pt idx="72">
                  <c:v>11</c:v>
                </c:pt>
                <c:pt idx="73">
                  <c:v>12</c:v>
                </c:pt>
                <c:pt idx="74">
                  <c:v>13</c:v>
                </c:pt>
                <c:pt idx="75">
                  <c:v>14</c:v>
                </c:pt>
                <c:pt idx="76">
                  <c:v>15</c:v>
                </c:pt>
                <c:pt idx="77">
                  <c:v>16</c:v>
                </c:pt>
                <c:pt idx="78">
                  <c:v>7</c:v>
                </c:pt>
                <c:pt idx="79">
                  <c:v>8</c:v>
                </c:pt>
                <c:pt idx="80">
                  <c:v>9</c:v>
                </c:pt>
                <c:pt idx="81">
                  <c:v>10</c:v>
                </c:pt>
                <c:pt idx="82">
                  <c:v>11</c:v>
                </c:pt>
                <c:pt idx="83">
                  <c:v>12</c:v>
                </c:pt>
                <c:pt idx="84">
                  <c:v>13</c:v>
                </c:pt>
                <c:pt idx="85">
                  <c:v>16</c:v>
                </c:pt>
                <c:pt idx="86">
                  <c:v>7</c:v>
                </c:pt>
                <c:pt idx="87">
                  <c:v>8</c:v>
                </c:pt>
                <c:pt idx="88">
                  <c:v>9</c:v>
                </c:pt>
                <c:pt idx="89">
                  <c:v>10</c:v>
                </c:pt>
                <c:pt idx="90">
                  <c:v>11</c:v>
                </c:pt>
                <c:pt idx="91">
                  <c:v>12</c:v>
                </c:pt>
                <c:pt idx="92">
                  <c:v>13</c:v>
                </c:pt>
                <c:pt idx="93">
                  <c:v>7</c:v>
                </c:pt>
                <c:pt idx="94">
                  <c:v>8</c:v>
                </c:pt>
                <c:pt idx="95">
                  <c:v>9</c:v>
                </c:pt>
                <c:pt idx="96">
                  <c:v>10</c:v>
                </c:pt>
                <c:pt idx="97">
                  <c:v>11</c:v>
                </c:pt>
                <c:pt idx="98">
                  <c:v>12</c:v>
                </c:pt>
                <c:pt idx="99">
                  <c:v>7</c:v>
                </c:pt>
                <c:pt idx="100">
                  <c:v>8</c:v>
                </c:pt>
                <c:pt idx="101">
                  <c:v>9</c:v>
                </c:pt>
                <c:pt idx="102">
                  <c:v>10</c:v>
                </c:pt>
                <c:pt idx="103">
                  <c:v>11</c:v>
                </c:pt>
                <c:pt idx="104">
                  <c:v>12</c:v>
                </c:pt>
                <c:pt idx="105">
                  <c:v>13</c:v>
                </c:pt>
                <c:pt idx="106">
                  <c:v>14</c:v>
                </c:pt>
                <c:pt idx="107">
                  <c:v>7</c:v>
                </c:pt>
                <c:pt idx="108">
                  <c:v>8</c:v>
                </c:pt>
                <c:pt idx="109">
                  <c:v>9</c:v>
                </c:pt>
                <c:pt idx="110">
                  <c:v>10</c:v>
                </c:pt>
                <c:pt idx="111">
                  <c:v>11</c:v>
                </c:pt>
                <c:pt idx="112">
                  <c:v>13</c:v>
                </c:pt>
                <c:pt idx="113">
                  <c:v>7</c:v>
                </c:pt>
                <c:pt idx="114">
                  <c:v>8</c:v>
                </c:pt>
                <c:pt idx="115">
                  <c:v>9</c:v>
                </c:pt>
                <c:pt idx="116">
                  <c:v>10</c:v>
                </c:pt>
                <c:pt idx="117">
                  <c:v>11</c:v>
                </c:pt>
                <c:pt idx="118">
                  <c:v>14</c:v>
                </c:pt>
                <c:pt idx="119">
                  <c:v>15</c:v>
                </c:pt>
                <c:pt idx="120">
                  <c:v>7</c:v>
                </c:pt>
                <c:pt idx="121">
                  <c:v>8</c:v>
                </c:pt>
                <c:pt idx="122">
                  <c:v>9</c:v>
                </c:pt>
                <c:pt idx="123">
                  <c:v>10</c:v>
                </c:pt>
                <c:pt idx="124">
                  <c:v>11</c:v>
                </c:pt>
                <c:pt idx="125">
                  <c:v>13</c:v>
                </c:pt>
                <c:pt idx="126">
                  <c:v>7</c:v>
                </c:pt>
                <c:pt idx="127">
                  <c:v>8</c:v>
                </c:pt>
                <c:pt idx="128">
                  <c:v>9</c:v>
                </c:pt>
                <c:pt idx="129">
                  <c:v>10</c:v>
                </c:pt>
                <c:pt idx="130">
                  <c:v>12</c:v>
                </c:pt>
                <c:pt idx="131">
                  <c:v>13</c:v>
                </c:pt>
                <c:pt idx="132">
                  <c:v>7</c:v>
                </c:pt>
                <c:pt idx="133">
                  <c:v>8</c:v>
                </c:pt>
                <c:pt idx="134">
                  <c:v>9</c:v>
                </c:pt>
                <c:pt idx="135">
                  <c:v>10</c:v>
                </c:pt>
                <c:pt idx="136">
                  <c:v>11</c:v>
                </c:pt>
                <c:pt idx="137">
                  <c:v>12</c:v>
                </c:pt>
                <c:pt idx="138">
                  <c:v>7</c:v>
                </c:pt>
                <c:pt idx="139">
                  <c:v>8</c:v>
                </c:pt>
                <c:pt idx="140">
                  <c:v>9</c:v>
                </c:pt>
                <c:pt idx="141">
                  <c:v>10</c:v>
                </c:pt>
                <c:pt idx="142">
                  <c:v>12</c:v>
                </c:pt>
                <c:pt idx="143">
                  <c:v>14</c:v>
                </c:pt>
                <c:pt idx="144">
                  <c:v>7</c:v>
                </c:pt>
                <c:pt idx="145">
                  <c:v>8</c:v>
                </c:pt>
                <c:pt idx="146">
                  <c:v>9</c:v>
                </c:pt>
                <c:pt idx="147">
                  <c:v>10</c:v>
                </c:pt>
                <c:pt idx="148">
                  <c:v>11</c:v>
                </c:pt>
                <c:pt idx="149">
                  <c:v>7</c:v>
                </c:pt>
                <c:pt idx="150">
                  <c:v>8</c:v>
                </c:pt>
                <c:pt idx="151">
                  <c:v>9</c:v>
                </c:pt>
                <c:pt idx="152">
                  <c:v>10</c:v>
                </c:pt>
                <c:pt idx="153">
                  <c:v>11</c:v>
                </c:pt>
                <c:pt idx="154">
                  <c:v>12</c:v>
                </c:pt>
                <c:pt idx="155">
                  <c:v>7</c:v>
                </c:pt>
                <c:pt idx="156">
                  <c:v>8</c:v>
                </c:pt>
                <c:pt idx="157">
                  <c:v>9</c:v>
                </c:pt>
                <c:pt idx="158">
                  <c:v>10</c:v>
                </c:pt>
                <c:pt idx="159">
                  <c:v>11</c:v>
                </c:pt>
                <c:pt idx="160">
                  <c:v>12</c:v>
                </c:pt>
                <c:pt idx="161">
                  <c:v>7</c:v>
                </c:pt>
                <c:pt idx="162">
                  <c:v>8</c:v>
                </c:pt>
                <c:pt idx="163">
                  <c:v>9</c:v>
                </c:pt>
                <c:pt idx="164">
                  <c:v>10</c:v>
                </c:pt>
                <c:pt idx="165">
                  <c:v>11</c:v>
                </c:pt>
                <c:pt idx="166">
                  <c:v>12</c:v>
                </c:pt>
                <c:pt idx="167">
                  <c:v>13</c:v>
                </c:pt>
                <c:pt idx="168">
                  <c:v>7</c:v>
                </c:pt>
                <c:pt idx="169">
                  <c:v>8</c:v>
                </c:pt>
                <c:pt idx="170">
                  <c:v>9</c:v>
                </c:pt>
                <c:pt idx="171">
                  <c:v>10</c:v>
                </c:pt>
                <c:pt idx="172">
                  <c:v>11</c:v>
                </c:pt>
                <c:pt idx="173">
                  <c:v>12</c:v>
                </c:pt>
                <c:pt idx="174">
                  <c:v>7</c:v>
                </c:pt>
                <c:pt idx="175">
                  <c:v>8</c:v>
                </c:pt>
                <c:pt idx="176">
                  <c:v>9</c:v>
                </c:pt>
                <c:pt idx="177">
                  <c:v>10</c:v>
                </c:pt>
                <c:pt idx="178">
                  <c:v>7</c:v>
                </c:pt>
                <c:pt idx="179">
                  <c:v>8</c:v>
                </c:pt>
                <c:pt idx="180">
                  <c:v>9</c:v>
                </c:pt>
                <c:pt idx="181">
                  <c:v>10</c:v>
                </c:pt>
                <c:pt idx="182">
                  <c:v>7</c:v>
                </c:pt>
                <c:pt idx="183">
                  <c:v>8</c:v>
                </c:pt>
                <c:pt idx="184">
                  <c:v>9</c:v>
                </c:pt>
                <c:pt idx="185">
                  <c:v>10</c:v>
                </c:pt>
                <c:pt idx="186">
                  <c:v>7</c:v>
                </c:pt>
                <c:pt idx="187">
                  <c:v>8</c:v>
                </c:pt>
                <c:pt idx="188">
                  <c:v>9</c:v>
                </c:pt>
                <c:pt idx="189">
                  <c:v>10</c:v>
                </c:pt>
                <c:pt idx="190">
                  <c:v>12</c:v>
                </c:pt>
                <c:pt idx="191">
                  <c:v>7</c:v>
                </c:pt>
                <c:pt idx="192">
                  <c:v>8</c:v>
                </c:pt>
                <c:pt idx="193">
                  <c:v>7</c:v>
                </c:pt>
                <c:pt idx="194">
                  <c:v>8</c:v>
                </c:pt>
                <c:pt idx="195">
                  <c:v>9</c:v>
                </c:pt>
                <c:pt idx="196">
                  <c:v>10</c:v>
                </c:pt>
                <c:pt idx="197">
                  <c:v>7</c:v>
                </c:pt>
                <c:pt idx="198">
                  <c:v>8</c:v>
                </c:pt>
                <c:pt idx="199">
                  <c:v>10</c:v>
                </c:pt>
                <c:pt idx="200">
                  <c:v>7</c:v>
                </c:pt>
                <c:pt idx="201">
                  <c:v>8</c:v>
                </c:pt>
                <c:pt idx="202">
                  <c:v>7</c:v>
                </c:pt>
                <c:pt idx="203">
                  <c:v>8</c:v>
                </c:pt>
                <c:pt idx="204">
                  <c:v>9</c:v>
                </c:pt>
                <c:pt idx="205">
                  <c:v>7</c:v>
                </c:pt>
                <c:pt idx="206">
                  <c:v>8</c:v>
                </c:pt>
                <c:pt idx="207">
                  <c:v>10</c:v>
                </c:pt>
                <c:pt idx="208">
                  <c:v>7</c:v>
                </c:pt>
                <c:pt idx="209">
                  <c:v>8</c:v>
                </c:pt>
                <c:pt idx="210">
                  <c:v>11</c:v>
                </c:pt>
                <c:pt idx="211">
                  <c:v>7</c:v>
                </c:pt>
                <c:pt idx="212">
                  <c:v>8</c:v>
                </c:pt>
                <c:pt idx="213">
                  <c:v>7</c:v>
                </c:pt>
                <c:pt idx="214">
                  <c:v>9</c:v>
                </c:pt>
                <c:pt idx="215">
                  <c:v>7</c:v>
                </c:pt>
                <c:pt idx="216">
                  <c:v>8</c:v>
                </c:pt>
                <c:pt idx="217">
                  <c:v>10</c:v>
                </c:pt>
                <c:pt idx="218">
                  <c:v>7</c:v>
                </c:pt>
                <c:pt idx="219">
                  <c:v>8</c:v>
                </c:pt>
                <c:pt idx="220">
                  <c:v>7</c:v>
                </c:pt>
                <c:pt idx="221">
                  <c:v>8</c:v>
                </c:pt>
                <c:pt idx="222">
                  <c:v>7</c:v>
                </c:pt>
                <c:pt idx="223">
                  <c:v>7</c:v>
                </c:pt>
                <c:pt idx="224">
                  <c:v>7</c:v>
                </c:pt>
                <c:pt idx="225">
                  <c:v>7</c:v>
                </c:pt>
                <c:pt idx="226">
                  <c:v>8</c:v>
                </c:pt>
                <c:pt idx="227">
                  <c:v>7</c:v>
                </c:pt>
                <c:pt idx="228">
                  <c:v>8</c:v>
                </c:pt>
                <c:pt idx="229">
                  <c:v>7</c:v>
                </c:pt>
              </c:numCache>
            </c:numRef>
          </c:yVal>
          <c:bubbleSize>
            <c:numRef>
              <c:f>'Home Dashboard Segment Bubbles'!$F$118:$F$347</c:f>
              <c:numCache>
                <c:formatCode>General</c:formatCode>
                <c:ptCount val="230"/>
                <c:pt idx="0">
                  <c:v>197</c:v>
                </c:pt>
                <c:pt idx="1">
                  <c:v>119</c:v>
                </c:pt>
                <c:pt idx="2">
                  <c:v>71</c:v>
                </c:pt>
                <c:pt idx="3">
                  <c:v>39</c:v>
                </c:pt>
                <c:pt idx="4">
                  <c:v>16</c:v>
                </c:pt>
                <c:pt idx="5">
                  <c:v>17</c:v>
                </c:pt>
                <c:pt idx="6">
                  <c:v>7</c:v>
                </c:pt>
                <c:pt idx="7">
                  <c:v>3</c:v>
                </c:pt>
                <c:pt idx="8">
                  <c:v>2</c:v>
                </c:pt>
                <c:pt idx="9">
                  <c:v>2</c:v>
                </c:pt>
                <c:pt idx="10">
                  <c:v>1</c:v>
                </c:pt>
                <c:pt idx="11">
                  <c:v>177</c:v>
                </c:pt>
                <c:pt idx="12">
                  <c:v>111</c:v>
                </c:pt>
                <c:pt idx="13">
                  <c:v>57</c:v>
                </c:pt>
                <c:pt idx="14">
                  <c:v>40</c:v>
                </c:pt>
                <c:pt idx="15">
                  <c:v>16</c:v>
                </c:pt>
                <c:pt idx="16">
                  <c:v>10</c:v>
                </c:pt>
                <c:pt idx="17">
                  <c:v>9</c:v>
                </c:pt>
                <c:pt idx="18">
                  <c:v>2</c:v>
                </c:pt>
                <c:pt idx="19">
                  <c:v>2</c:v>
                </c:pt>
                <c:pt idx="20">
                  <c:v>2</c:v>
                </c:pt>
                <c:pt idx="21">
                  <c:v>1</c:v>
                </c:pt>
                <c:pt idx="22">
                  <c:v>149</c:v>
                </c:pt>
                <c:pt idx="23">
                  <c:v>120</c:v>
                </c:pt>
                <c:pt idx="24">
                  <c:v>67</c:v>
                </c:pt>
                <c:pt idx="25">
                  <c:v>25</c:v>
                </c:pt>
                <c:pt idx="26">
                  <c:v>24</c:v>
                </c:pt>
                <c:pt idx="27">
                  <c:v>4</c:v>
                </c:pt>
                <c:pt idx="28">
                  <c:v>3</c:v>
                </c:pt>
                <c:pt idx="29">
                  <c:v>2</c:v>
                </c:pt>
                <c:pt idx="30">
                  <c:v>2</c:v>
                </c:pt>
                <c:pt idx="31">
                  <c:v>1</c:v>
                </c:pt>
                <c:pt idx="32">
                  <c:v>1</c:v>
                </c:pt>
                <c:pt idx="33">
                  <c:v>167</c:v>
                </c:pt>
                <c:pt idx="34">
                  <c:v>106</c:v>
                </c:pt>
                <c:pt idx="35">
                  <c:v>54</c:v>
                </c:pt>
                <c:pt idx="36">
                  <c:v>28</c:v>
                </c:pt>
                <c:pt idx="37">
                  <c:v>15</c:v>
                </c:pt>
                <c:pt idx="38">
                  <c:v>7</c:v>
                </c:pt>
                <c:pt idx="39">
                  <c:v>5</c:v>
                </c:pt>
                <c:pt idx="40">
                  <c:v>3</c:v>
                </c:pt>
                <c:pt idx="41">
                  <c:v>2</c:v>
                </c:pt>
                <c:pt idx="42">
                  <c:v>1</c:v>
                </c:pt>
                <c:pt idx="43">
                  <c:v>142</c:v>
                </c:pt>
                <c:pt idx="44">
                  <c:v>58</c:v>
                </c:pt>
                <c:pt idx="45">
                  <c:v>48</c:v>
                </c:pt>
                <c:pt idx="46">
                  <c:v>22</c:v>
                </c:pt>
                <c:pt idx="47">
                  <c:v>8</c:v>
                </c:pt>
                <c:pt idx="48">
                  <c:v>7</c:v>
                </c:pt>
                <c:pt idx="49">
                  <c:v>3</c:v>
                </c:pt>
                <c:pt idx="50">
                  <c:v>3</c:v>
                </c:pt>
                <c:pt idx="51">
                  <c:v>140</c:v>
                </c:pt>
                <c:pt idx="52">
                  <c:v>83</c:v>
                </c:pt>
                <c:pt idx="53">
                  <c:v>41</c:v>
                </c:pt>
                <c:pt idx="54">
                  <c:v>23</c:v>
                </c:pt>
                <c:pt idx="55">
                  <c:v>8</c:v>
                </c:pt>
                <c:pt idx="56">
                  <c:v>9</c:v>
                </c:pt>
                <c:pt idx="57">
                  <c:v>5</c:v>
                </c:pt>
                <c:pt idx="58">
                  <c:v>1</c:v>
                </c:pt>
                <c:pt idx="59">
                  <c:v>2</c:v>
                </c:pt>
                <c:pt idx="60">
                  <c:v>140</c:v>
                </c:pt>
                <c:pt idx="61">
                  <c:v>79</c:v>
                </c:pt>
                <c:pt idx="62">
                  <c:v>47</c:v>
                </c:pt>
                <c:pt idx="63">
                  <c:v>19</c:v>
                </c:pt>
                <c:pt idx="64">
                  <c:v>4</c:v>
                </c:pt>
                <c:pt idx="65">
                  <c:v>12</c:v>
                </c:pt>
                <c:pt idx="66">
                  <c:v>2</c:v>
                </c:pt>
                <c:pt idx="67">
                  <c:v>1</c:v>
                </c:pt>
                <c:pt idx="68">
                  <c:v>127</c:v>
                </c:pt>
                <c:pt idx="69">
                  <c:v>78</c:v>
                </c:pt>
                <c:pt idx="70">
                  <c:v>26</c:v>
                </c:pt>
                <c:pt idx="71">
                  <c:v>10</c:v>
                </c:pt>
                <c:pt idx="72">
                  <c:v>6</c:v>
                </c:pt>
                <c:pt idx="73">
                  <c:v>4</c:v>
                </c:pt>
                <c:pt idx="74">
                  <c:v>1</c:v>
                </c:pt>
                <c:pt idx="75">
                  <c:v>1</c:v>
                </c:pt>
                <c:pt idx="76">
                  <c:v>1</c:v>
                </c:pt>
                <c:pt idx="77">
                  <c:v>1</c:v>
                </c:pt>
                <c:pt idx="78">
                  <c:v>101</c:v>
                </c:pt>
                <c:pt idx="79">
                  <c:v>68</c:v>
                </c:pt>
                <c:pt idx="80">
                  <c:v>31</c:v>
                </c:pt>
                <c:pt idx="81">
                  <c:v>28</c:v>
                </c:pt>
                <c:pt idx="82">
                  <c:v>6</c:v>
                </c:pt>
                <c:pt idx="83">
                  <c:v>2</c:v>
                </c:pt>
                <c:pt idx="84">
                  <c:v>3</c:v>
                </c:pt>
                <c:pt idx="85">
                  <c:v>1</c:v>
                </c:pt>
                <c:pt idx="86">
                  <c:v>101</c:v>
                </c:pt>
                <c:pt idx="87">
                  <c:v>64</c:v>
                </c:pt>
                <c:pt idx="88">
                  <c:v>35</c:v>
                </c:pt>
                <c:pt idx="89">
                  <c:v>16</c:v>
                </c:pt>
                <c:pt idx="90">
                  <c:v>1</c:v>
                </c:pt>
                <c:pt idx="91">
                  <c:v>5</c:v>
                </c:pt>
                <c:pt idx="92">
                  <c:v>1</c:v>
                </c:pt>
                <c:pt idx="93">
                  <c:v>75</c:v>
                </c:pt>
                <c:pt idx="94">
                  <c:v>50</c:v>
                </c:pt>
                <c:pt idx="95">
                  <c:v>24</c:v>
                </c:pt>
                <c:pt idx="96">
                  <c:v>13</c:v>
                </c:pt>
                <c:pt idx="97">
                  <c:v>9</c:v>
                </c:pt>
                <c:pt idx="98">
                  <c:v>3</c:v>
                </c:pt>
                <c:pt idx="99">
                  <c:v>72</c:v>
                </c:pt>
                <c:pt idx="100">
                  <c:v>58</c:v>
                </c:pt>
                <c:pt idx="101">
                  <c:v>23</c:v>
                </c:pt>
                <c:pt idx="102">
                  <c:v>6</c:v>
                </c:pt>
                <c:pt idx="103">
                  <c:v>3</c:v>
                </c:pt>
                <c:pt idx="104">
                  <c:v>2</c:v>
                </c:pt>
                <c:pt idx="105">
                  <c:v>1</c:v>
                </c:pt>
                <c:pt idx="106">
                  <c:v>1</c:v>
                </c:pt>
                <c:pt idx="107">
                  <c:v>68</c:v>
                </c:pt>
                <c:pt idx="108">
                  <c:v>49</c:v>
                </c:pt>
                <c:pt idx="109">
                  <c:v>18</c:v>
                </c:pt>
                <c:pt idx="110">
                  <c:v>10</c:v>
                </c:pt>
                <c:pt idx="111">
                  <c:v>4</c:v>
                </c:pt>
                <c:pt idx="112">
                  <c:v>1</c:v>
                </c:pt>
                <c:pt idx="113">
                  <c:v>55</c:v>
                </c:pt>
                <c:pt idx="114">
                  <c:v>25</c:v>
                </c:pt>
                <c:pt idx="115">
                  <c:v>16</c:v>
                </c:pt>
                <c:pt idx="116">
                  <c:v>7</c:v>
                </c:pt>
                <c:pt idx="117">
                  <c:v>5</c:v>
                </c:pt>
                <c:pt idx="118">
                  <c:v>1</c:v>
                </c:pt>
                <c:pt idx="119">
                  <c:v>1</c:v>
                </c:pt>
                <c:pt idx="120">
                  <c:v>62</c:v>
                </c:pt>
                <c:pt idx="121">
                  <c:v>32</c:v>
                </c:pt>
                <c:pt idx="122">
                  <c:v>9</c:v>
                </c:pt>
                <c:pt idx="123">
                  <c:v>5</c:v>
                </c:pt>
                <c:pt idx="124">
                  <c:v>3</c:v>
                </c:pt>
                <c:pt idx="125">
                  <c:v>1</c:v>
                </c:pt>
                <c:pt idx="126">
                  <c:v>48</c:v>
                </c:pt>
                <c:pt idx="127">
                  <c:v>26</c:v>
                </c:pt>
                <c:pt idx="128">
                  <c:v>10</c:v>
                </c:pt>
                <c:pt idx="129">
                  <c:v>6</c:v>
                </c:pt>
                <c:pt idx="130">
                  <c:v>1</c:v>
                </c:pt>
                <c:pt idx="131">
                  <c:v>1</c:v>
                </c:pt>
                <c:pt idx="132">
                  <c:v>55</c:v>
                </c:pt>
                <c:pt idx="133">
                  <c:v>22</c:v>
                </c:pt>
                <c:pt idx="134">
                  <c:v>13</c:v>
                </c:pt>
                <c:pt idx="135">
                  <c:v>9</c:v>
                </c:pt>
                <c:pt idx="136">
                  <c:v>1</c:v>
                </c:pt>
                <c:pt idx="137">
                  <c:v>2</c:v>
                </c:pt>
                <c:pt idx="138">
                  <c:v>33</c:v>
                </c:pt>
                <c:pt idx="139">
                  <c:v>19</c:v>
                </c:pt>
                <c:pt idx="140">
                  <c:v>17</c:v>
                </c:pt>
                <c:pt idx="141">
                  <c:v>3</c:v>
                </c:pt>
                <c:pt idx="142">
                  <c:v>2</c:v>
                </c:pt>
                <c:pt idx="143">
                  <c:v>2</c:v>
                </c:pt>
                <c:pt idx="144">
                  <c:v>50</c:v>
                </c:pt>
                <c:pt idx="145">
                  <c:v>25</c:v>
                </c:pt>
                <c:pt idx="146">
                  <c:v>7</c:v>
                </c:pt>
                <c:pt idx="147">
                  <c:v>2</c:v>
                </c:pt>
                <c:pt idx="148">
                  <c:v>1</c:v>
                </c:pt>
                <c:pt idx="149">
                  <c:v>38</c:v>
                </c:pt>
                <c:pt idx="150">
                  <c:v>12</c:v>
                </c:pt>
                <c:pt idx="151">
                  <c:v>12</c:v>
                </c:pt>
                <c:pt idx="152">
                  <c:v>4</c:v>
                </c:pt>
                <c:pt idx="153">
                  <c:v>1</c:v>
                </c:pt>
                <c:pt idx="154">
                  <c:v>1</c:v>
                </c:pt>
                <c:pt idx="155">
                  <c:v>27</c:v>
                </c:pt>
                <c:pt idx="156">
                  <c:v>22</c:v>
                </c:pt>
                <c:pt idx="157">
                  <c:v>6</c:v>
                </c:pt>
                <c:pt idx="158">
                  <c:v>5</c:v>
                </c:pt>
                <c:pt idx="159">
                  <c:v>1</c:v>
                </c:pt>
                <c:pt idx="160">
                  <c:v>2</c:v>
                </c:pt>
                <c:pt idx="161">
                  <c:v>18</c:v>
                </c:pt>
                <c:pt idx="162">
                  <c:v>14</c:v>
                </c:pt>
                <c:pt idx="163">
                  <c:v>4</c:v>
                </c:pt>
                <c:pt idx="164">
                  <c:v>2</c:v>
                </c:pt>
                <c:pt idx="165">
                  <c:v>3</c:v>
                </c:pt>
                <c:pt idx="166">
                  <c:v>1</c:v>
                </c:pt>
                <c:pt idx="167">
                  <c:v>1</c:v>
                </c:pt>
                <c:pt idx="168">
                  <c:v>17</c:v>
                </c:pt>
                <c:pt idx="169">
                  <c:v>11</c:v>
                </c:pt>
                <c:pt idx="170">
                  <c:v>4</c:v>
                </c:pt>
                <c:pt idx="171">
                  <c:v>1</c:v>
                </c:pt>
                <c:pt idx="172">
                  <c:v>2</c:v>
                </c:pt>
                <c:pt idx="173">
                  <c:v>1</c:v>
                </c:pt>
                <c:pt idx="174">
                  <c:v>23</c:v>
                </c:pt>
                <c:pt idx="175">
                  <c:v>9</c:v>
                </c:pt>
                <c:pt idx="176">
                  <c:v>1</c:v>
                </c:pt>
                <c:pt idx="177">
                  <c:v>2</c:v>
                </c:pt>
                <c:pt idx="178">
                  <c:v>12</c:v>
                </c:pt>
                <c:pt idx="179">
                  <c:v>7</c:v>
                </c:pt>
                <c:pt idx="180">
                  <c:v>3</c:v>
                </c:pt>
                <c:pt idx="181">
                  <c:v>1</c:v>
                </c:pt>
                <c:pt idx="182">
                  <c:v>20</c:v>
                </c:pt>
                <c:pt idx="183">
                  <c:v>6</c:v>
                </c:pt>
                <c:pt idx="184">
                  <c:v>4</c:v>
                </c:pt>
                <c:pt idx="185">
                  <c:v>3</c:v>
                </c:pt>
                <c:pt idx="186">
                  <c:v>12</c:v>
                </c:pt>
                <c:pt idx="187">
                  <c:v>9</c:v>
                </c:pt>
                <c:pt idx="188">
                  <c:v>2</c:v>
                </c:pt>
                <c:pt idx="189">
                  <c:v>2</c:v>
                </c:pt>
                <c:pt idx="190">
                  <c:v>1</c:v>
                </c:pt>
                <c:pt idx="191">
                  <c:v>16</c:v>
                </c:pt>
                <c:pt idx="192">
                  <c:v>4</c:v>
                </c:pt>
                <c:pt idx="193">
                  <c:v>8</c:v>
                </c:pt>
                <c:pt idx="194">
                  <c:v>6</c:v>
                </c:pt>
                <c:pt idx="195">
                  <c:v>2</c:v>
                </c:pt>
                <c:pt idx="196">
                  <c:v>1</c:v>
                </c:pt>
                <c:pt idx="197">
                  <c:v>15</c:v>
                </c:pt>
                <c:pt idx="198">
                  <c:v>3</c:v>
                </c:pt>
                <c:pt idx="199">
                  <c:v>1</c:v>
                </c:pt>
                <c:pt idx="200">
                  <c:v>9</c:v>
                </c:pt>
                <c:pt idx="201">
                  <c:v>2</c:v>
                </c:pt>
                <c:pt idx="202">
                  <c:v>4</c:v>
                </c:pt>
                <c:pt idx="203">
                  <c:v>2</c:v>
                </c:pt>
                <c:pt idx="204">
                  <c:v>1</c:v>
                </c:pt>
                <c:pt idx="205">
                  <c:v>6</c:v>
                </c:pt>
                <c:pt idx="206">
                  <c:v>2</c:v>
                </c:pt>
                <c:pt idx="207">
                  <c:v>2</c:v>
                </c:pt>
                <c:pt idx="208">
                  <c:v>7</c:v>
                </c:pt>
                <c:pt idx="209">
                  <c:v>3</c:v>
                </c:pt>
                <c:pt idx="210">
                  <c:v>1</c:v>
                </c:pt>
                <c:pt idx="211">
                  <c:v>5</c:v>
                </c:pt>
                <c:pt idx="212">
                  <c:v>4</c:v>
                </c:pt>
                <c:pt idx="213">
                  <c:v>3</c:v>
                </c:pt>
                <c:pt idx="214">
                  <c:v>1</c:v>
                </c:pt>
                <c:pt idx="215">
                  <c:v>7</c:v>
                </c:pt>
                <c:pt idx="216">
                  <c:v>3</c:v>
                </c:pt>
                <c:pt idx="217">
                  <c:v>1</c:v>
                </c:pt>
                <c:pt idx="218">
                  <c:v>3</c:v>
                </c:pt>
                <c:pt idx="219">
                  <c:v>1</c:v>
                </c:pt>
                <c:pt idx="220">
                  <c:v>1</c:v>
                </c:pt>
                <c:pt idx="221">
                  <c:v>1</c:v>
                </c:pt>
                <c:pt idx="222">
                  <c:v>3</c:v>
                </c:pt>
                <c:pt idx="223">
                  <c:v>2</c:v>
                </c:pt>
                <c:pt idx="224">
                  <c:v>1</c:v>
                </c:pt>
                <c:pt idx="225">
                  <c:v>1</c:v>
                </c:pt>
                <c:pt idx="226">
                  <c:v>1</c:v>
                </c:pt>
                <c:pt idx="227">
                  <c:v>1</c:v>
                </c:pt>
                <c:pt idx="228">
                  <c:v>1</c:v>
                </c:pt>
                <c:pt idx="229">
                  <c:v>2</c:v>
                </c:pt>
              </c:numCache>
            </c:numRef>
          </c:bubbleSize>
          <c:bubble3D val="0"/>
          <c:extLst>
            <c:ext xmlns:c16="http://schemas.microsoft.com/office/drawing/2014/chart" uri="{C3380CC4-5D6E-409C-BE32-E72D297353CC}">
              <c16:uniqueId val="{00000001-0280-40FA-87BC-47541E5A69DD}"/>
            </c:ext>
          </c:extLst>
        </c:ser>
        <c:ser>
          <c:idx val="2"/>
          <c:order val="2"/>
          <c:tx>
            <c:v>Developing</c:v>
          </c:tx>
          <c:spPr>
            <a:solidFill>
              <a:schemeClr val="accent3">
                <a:alpha val="75000"/>
              </a:schemeClr>
            </a:solidFill>
            <a:ln w="25400">
              <a:noFill/>
            </a:ln>
            <a:effectLst/>
          </c:spPr>
          <c:invertIfNegative val="0"/>
          <c:xVal>
            <c:numRef>
              <c:f>'Home Dashboard Segment Bubbles'!$D$348:$D$401</c:f>
              <c:numCache>
                <c:formatCode>General</c:formatCode>
                <c:ptCount val="54"/>
                <c:pt idx="0">
                  <c:v>5.5</c:v>
                </c:pt>
                <c:pt idx="1">
                  <c:v>5.5</c:v>
                </c:pt>
                <c:pt idx="2">
                  <c:v>5.5</c:v>
                </c:pt>
                <c:pt idx="3">
                  <c:v>5.5</c:v>
                </c:pt>
                <c:pt idx="4">
                  <c:v>5.5</c:v>
                </c:pt>
                <c:pt idx="5">
                  <c:v>5.5</c:v>
                </c:pt>
                <c:pt idx="6">
                  <c:v>15.5</c:v>
                </c:pt>
                <c:pt idx="7">
                  <c:v>15.5</c:v>
                </c:pt>
                <c:pt idx="8">
                  <c:v>15.5</c:v>
                </c:pt>
                <c:pt idx="9">
                  <c:v>15.5</c:v>
                </c:pt>
                <c:pt idx="10">
                  <c:v>15.5</c:v>
                </c:pt>
                <c:pt idx="11">
                  <c:v>15.5</c:v>
                </c:pt>
                <c:pt idx="12">
                  <c:v>25.5</c:v>
                </c:pt>
                <c:pt idx="13">
                  <c:v>25.5</c:v>
                </c:pt>
                <c:pt idx="14">
                  <c:v>25.5</c:v>
                </c:pt>
                <c:pt idx="15">
                  <c:v>25.5</c:v>
                </c:pt>
                <c:pt idx="16">
                  <c:v>25.5</c:v>
                </c:pt>
                <c:pt idx="17">
                  <c:v>25.5</c:v>
                </c:pt>
                <c:pt idx="18">
                  <c:v>35.5</c:v>
                </c:pt>
                <c:pt idx="19">
                  <c:v>35.5</c:v>
                </c:pt>
                <c:pt idx="20">
                  <c:v>35.5</c:v>
                </c:pt>
                <c:pt idx="21">
                  <c:v>35.5</c:v>
                </c:pt>
                <c:pt idx="22">
                  <c:v>35.5</c:v>
                </c:pt>
                <c:pt idx="23">
                  <c:v>35.5</c:v>
                </c:pt>
                <c:pt idx="24">
                  <c:v>45.5</c:v>
                </c:pt>
                <c:pt idx="25">
                  <c:v>45.5</c:v>
                </c:pt>
                <c:pt idx="26">
                  <c:v>45.5</c:v>
                </c:pt>
                <c:pt idx="27">
                  <c:v>45.5</c:v>
                </c:pt>
                <c:pt idx="28">
                  <c:v>45.5</c:v>
                </c:pt>
                <c:pt idx="29">
                  <c:v>45.5</c:v>
                </c:pt>
                <c:pt idx="30">
                  <c:v>55.5</c:v>
                </c:pt>
                <c:pt idx="31">
                  <c:v>55.5</c:v>
                </c:pt>
                <c:pt idx="32">
                  <c:v>55.5</c:v>
                </c:pt>
                <c:pt idx="33">
                  <c:v>55.5</c:v>
                </c:pt>
                <c:pt idx="34">
                  <c:v>55.5</c:v>
                </c:pt>
                <c:pt idx="35">
                  <c:v>55.5</c:v>
                </c:pt>
                <c:pt idx="36">
                  <c:v>65.5</c:v>
                </c:pt>
                <c:pt idx="37">
                  <c:v>65.5</c:v>
                </c:pt>
                <c:pt idx="38">
                  <c:v>65.5</c:v>
                </c:pt>
                <c:pt idx="39">
                  <c:v>65.5</c:v>
                </c:pt>
                <c:pt idx="40">
                  <c:v>65.5</c:v>
                </c:pt>
                <c:pt idx="41">
                  <c:v>65.5</c:v>
                </c:pt>
                <c:pt idx="42">
                  <c:v>75.5</c:v>
                </c:pt>
                <c:pt idx="43">
                  <c:v>75.5</c:v>
                </c:pt>
                <c:pt idx="44">
                  <c:v>75.5</c:v>
                </c:pt>
                <c:pt idx="45">
                  <c:v>75.5</c:v>
                </c:pt>
                <c:pt idx="46">
                  <c:v>75.5</c:v>
                </c:pt>
                <c:pt idx="47">
                  <c:v>75.5</c:v>
                </c:pt>
                <c:pt idx="48">
                  <c:v>85.5</c:v>
                </c:pt>
                <c:pt idx="49">
                  <c:v>85.5</c:v>
                </c:pt>
                <c:pt idx="50">
                  <c:v>85.5</c:v>
                </c:pt>
                <c:pt idx="51">
                  <c:v>85.5</c:v>
                </c:pt>
                <c:pt idx="52">
                  <c:v>85.5</c:v>
                </c:pt>
                <c:pt idx="53">
                  <c:v>85.5</c:v>
                </c:pt>
              </c:numCache>
            </c:numRef>
          </c:xVal>
          <c:yVal>
            <c:numRef>
              <c:f>'Home Dashboard Segment Bubbles'!$E$348:$E$401</c:f>
              <c:numCache>
                <c:formatCode>General</c:formatCode>
                <c:ptCount val="54"/>
                <c:pt idx="0">
                  <c:v>1</c:v>
                </c:pt>
                <c:pt idx="1">
                  <c:v>2</c:v>
                </c:pt>
                <c:pt idx="2">
                  <c:v>3</c:v>
                </c:pt>
                <c:pt idx="3">
                  <c:v>4</c:v>
                </c:pt>
                <c:pt idx="4">
                  <c:v>5</c:v>
                </c:pt>
                <c:pt idx="5">
                  <c:v>6</c:v>
                </c:pt>
                <c:pt idx="6">
                  <c:v>1</c:v>
                </c:pt>
                <c:pt idx="7">
                  <c:v>2</c:v>
                </c:pt>
                <c:pt idx="8">
                  <c:v>3</c:v>
                </c:pt>
                <c:pt idx="9">
                  <c:v>4</c:v>
                </c:pt>
                <c:pt idx="10">
                  <c:v>5</c:v>
                </c:pt>
                <c:pt idx="11">
                  <c:v>6</c:v>
                </c:pt>
                <c:pt idx="12">
                  <c:v>1</c:v>
                </c:pt>
                <c:pt idx="13">
                  <c:v>2</c:v>
                </c:pt>
                <c:pt idx="14">
                  <c:v>3</c:v>
                </c:pt>
                <c:pt idx="15">
                  <c:v>4</c:v>
                </c:pt>
                <c:pt idx="16">
                  <c:v>5</c:v>
                </c:pt>
                <c:pt idx="17">
                  <c:v>6</c:v>
                </c:pt>
                <c:pt idx="18">
                  <c:v>1</c:v>
                </c:pt>
                <c:pt idx="19">
                  <c:v>2</c:v>
                </c:pt>
                <c:pt idx="20">
                  <c:v>3</c:v>
                </c:pt>
                <c:pt idx="21">
                  <c:v>4</c:v>
                </c:pt>
                <c:pt idx="22">
                  <c:v>5</c:v>
                </c:pt>
                <c:pt idx="23">
                  <c:v>6</c:v>
                </c:pt>
                <c:pt idx="24">
                  <c:v>1</c:v>
                </c:pt>
                <c:pt idx="25">
                  <c:v>2</c:v>
                </c:pt>
                <c:pt idx="26">
                  <c:v>3</c:v>
                </c:pt>
                <c:pt idx="27">
                  <c:v>4</c:v>
                </c:pt>
                <c:pt idx="28">
                  <c:v>5</c:v>
                </c:pt>
                <c:pt idx="29">
                  <c:v>6</c:v>
                </c:pt>
                <c:pt idx="30">
                  <c:v>1</c:v>
                </c:pt>
                <c:pt idx="31">
                  <c:v>2</c:v>
                </c:pt>
                <c:pt idx="32">
                  <c:v>3</c:v>
                </c:pt>
                <c:pt idx="33">
                  <c:v>4</c:v>
                </c:pt>
                <c:pt idx="34">
                  <c:v>5</c:v>
                </c:pt>
                <c:pt idx="35">
                  <c:v>6</c:v>
                </c:pt>
                <c:pt idx="36">
                  <c:v>1</c:v>
                </c:pt>
                <c:pt idx="37">
                  <c:v>2</c:v>
                </c:pt>
                <c:pt idx="38">
                  <c:v>3</c:v>
                </c:pt>
                <c:pt idx="39">
                  <c:v>4</c:v>
                </c:pt>
                <c:pt idx="40">
                  <c:v>5</c:v>
                </c:pt>
                <c:pt idx="41">
                  <c:v>6</c:v>
                </c:pt>
                <c:pt idx="42">
                  <c:v>1</c:v>
                </c:pt>
                <c:pt idx="43">
                  <c:v>2</c:v>
                </c:pt>
                <c:pt idx="44">
                  <c:v>3</c:v>
                </c:pt>
                <c:pt idx="45">
                  <c:v>4</c:v>
                </c:pt>
                <c:pt idx="46">
                  <c:v>5</c:v>
                </c:pt>
                <c:pt idx="47">
                  <c:v>6</c:v>
                </c:pt>
                <c:pt idx="48">
                  <c:v>1</c:v>
                </c:pt>
                <c:pt idx="49">
                  <c:v>2</c:v>
                </c:pt>
                <c:pt idx="50">
                  <c:v>3</c:v>
                </c:pt>
                <c:pt idx="51">
                  <c:v>4</c:v>
                </c:pt>
                <c:pt idx="52">
                  <c:v>5</c:v>
                </c:pt>
                <c:pt idx="53">
                  <c:v>6</c:v>
                </c:pt>
              </c:numCache>
            </c:numRef>
          </c:yVal>
          <c:bubbleSize>
            <c:numRef>
              <c:f>'Home Dashboard Segment Bubbles'!$F$348:$F$401</c:f>
              <c:numCache>
                <c:formatCode>General</c:formatCode>
                <c:ptCount val="54"/>
                <c:pt idx="0">
                  <c:v>10</c:v>
                </c:pt>
                <c:pt idx="1">
                  <c:v>92</c:v>
                </c:pt>
                <c:pt idx="2">
                  <c:v>227</c:v>
                </c:pt>
                <c:pt idx="3">
                  <c:v>401</c:v>
                </c:pt>
                <c:pt idx="4">
                  <c:v>463</c:v>
                </c:pt>
                <c:pt idx="5">
                  <c:v>506</c:v>
                </c:pt>
                <c:pt idx="6">
                  <c:v>19</c:v>
                </c:pt>
                <c:pt idx="7">
                  <c:v>89</c:v>
                </c:pt>
                <c:pt idx="8">
                  <c:v>208</c:v>
                </c:pt>
                <c:pt idx="9">
                  <c:v>353</c:v>
                </c:pt>
                <c:pt idx="10">
                  <c:v>483</c:v>
                </c:pt>
                <c:pt idx="11">
                  <c:v>440</c:v>
                </c:pt>
                <c:pt idx="12">
                  <c:v>17</c:v>
                </c:pt>
                <c:pt idx="13">
                  <c:v>87</c:v>
                </c:pt>
                <c:pt idx="14">
                  <c:v>238</c:v>
                </c:pt>
                <c:pt idx="15">
                  <c:v>360</c:v>
                </c:pt>
                <c:pt idx="16">
                  <c:v>418</c:v>
                </c:pt>
                <c:pt idx="17">
                  <c:v>397</c:v>
                </c:pt>
                <c:pt idx="18">
                  <c:v>23</c:v>
                </c:pt>
                <c:pt idx="19">
                  <c:v>94</c:v>
                </c:pt>
                <c:pt idx="20">
                  <c:v>205</c:v>
                </c:pt>
                <c:pt idx="21">
                  <c:v>382</c:v>
                </c:pt>
                <c:pt idx="22">
                  <c:v>374</c:v>
                </c:pt>
                <c:pt idx="23">
                  <c:v>361</c:v>
                </c:pt>
                <c:pt idx="24">
                  <c:v>14</c:v>
                </c:pt>
                <c:pt idx="25">
                  <c:v>80</c:v>
                </c:pt>
                <c:pt idx="26">
                  <c:v>225</c:v>
                </c:pt>
                <c:pt idx="27">
                  <c:v>314</c:v>
                </c:pt>
                <c:pt idx="28">
                  <c:v>389</c:v>
                </c:pt>
                <c:pt idx="29">
                  <c:v>393</c:v>
                </c:pt>
                <c:pt idx="30">
                  <c:v>24</c:v>
                </c:pt>
                <c:pt idx="31">
                  <c:v>102</c:v>
                </c:pt>
                <c:pt idx="32">
                  <c:v>231</c:v>
                </c:pt>
                <c:pt idx="33">
                  <c:v>303</c:v>
                </c:pt>
                <c:pt idx="34">
                  <c:v>382</c:v>
                </c:pt>
                <c:pt idx="35">
                  <c:v>357</c:v>
                </c:pt>
                <c:pt idx="36">
                  <c:v>17</c:v>
                </c:pt>
                <c:pt idx="37">
                  <c:v>104</c:v>
                </c:pt>
                <c:pt idx="38">
                  <c:v>194</c:v>
                </c:pt>
                <c:pt idx="39">
                  <c:v>269</c:v>
                </c:pt>
                <c:pt idx="40">
                  <c:v>365</c:v>
                </c:pt>
                <c:pt idx="41">
                  <c:v>313</c:v>
                </c:pt>
                <c:pt idx="42">
                  <c:v>21</c:v>
                </c:pt>
                <c:pt idx="43">
                  <c:v>88</c:v>
                </c:pt>
                <c:pt idx="44">
                  <c:v>199</c:v>
                </c:pt>
                <c:pt idx="45">
                  <c:v>295</c:v>
                </c:pt>
                <c:pt idx="46">
                  <c:v>362</c:v>
                </c:pt>
                <c:pt idx="47">
                  <c:v>308</c:v>
                </c:pt>
                <c:pt idx="48">
                  <c:v>13</c:v>
                </c:pt>
                <c:pt idx="49">
                  <c:v>100</c:v>
                </c:pt>
                <c:pt idx="50">
                  <c:v>200</c:v>
                </c:pt>
                <c:pt idx="51">
                  <c:v>265</c:v>
                </c:pt>
                <c:pt idx="52">
                  <c:v>326</c:v>
                </c:pt>
                <c:pt idx="53">
                  <c:v>292</c:v>
                </c:pt>
              </c:numCache>
            </c:numRef>
          </c:bubbleSize>
          <c:bubble3D val="0"/>
          <c:extLst>
            <c:ext xmlns:c16="http://schemas.microsoft.com/office/drawing/2014/chart" uri="{C3380CC4-5D6E-409C-BE32-E72D297353CC}">
              <c16:uniqueId val="{00000002-0280-40FA-87BC-47541E5A69DD}"/>
            </c:ext>
          </c:extLst>
        </c:ser>
        <c:ser>
          <c:idx val="3"/>
          <c:order val="3"/>
          <c:tx>
            <c:v>Low Engagement / Lapsed</c:v>
          </c:tx>
          <c:spPr>
            <a:solidFill>
              <a:schemeClr val="accent4">
                <a:alpha val="75000"/>
              </a:schemeClr>
            </a:solidFill>
            <a:ln w="25400">
              <a:noFill/>
            </a:ln>
            <a:effectLst/>
          </c:spPr>
          <c:invertIfNegative val="0"/>
          <c:xVal>
            <c:numRef>
              <c:f>'Home Dashboard Segment Bubbles'!$D$402:$D$765</c:f>
              <c:numCache>
                <c:formatCode>General</c:formatCode>
                <c:ptCount val="364"/>
                <c:pt idx="0">
                  <c:v>95.5</c:v>
                </c:pt>
                <c:pt idx="1">
                  <c:v>95.5</c:v>
                </c:pt>
                <c:pt idx="2">
                  <c:v>95.5</c:v>
                </c:pt>
                <c:pt idx="3">
                  <c:v>95.5</c:v>
                </c:pt>
                <c:pt idx="4">
                  <c:v>95.5</c:v>
                </c:pt>
                <c:pt idx="5">
                  <c:v>95.5</c:v>
                </c:pt>
                <c:pt idx="6">
                  <c:v>105.5</c:v>
                </c:pt>
                <c:pt idx="7">
                  <c:v>105.5</c:v>
                </c:pt>
                <c:pt idx="8">
                  <c:v>105.5</c:v>
                </c:pt>
                <c:pt idx="9">
                  <c:v>105.5</c:v>
                </c:pt>
                <c:pt idx="10">
                  <c:v>105.5</c:v>
                </c:pt>
                <c:pt idx="11">
                  <c:v>105.5</c:v>
                </c:pt>
                <c:pt idx="12">
                  <c:v>115.5</c:v>
                </c:pt>
                <c:pt idx="13">
                  <c:v>115.5</c:v>
                </c:pt>
                <c:pt idx="14">
                  <c:v>115.5</c:v>
                </c:pt>
                <c:pt idx="15">
                  <c:v>115.5</c:v>
                </c:pt>
                <c:pt idx="16">
                  <c:v>115.5</c:v>
                </c:pt>
                <c:pt idx="17">
                  <c:v>115.5</c:v>
                </c:pt>
                <c:pt idx="18">
                  <c:v>125.5</c:v>
                </c:pt>
                <c:pt idx="19">
                  <c:v>125.5</c:v>
                </c:pt>
                <c:pt idx="20">
                  <c:v>125.5</c:v>
                </c:pt>
                <c:pt idx="21">
                  <c:v>125.5</c:v>
                </c:pt>
                <c:pt idx="22">
                  <c:v>125.5</c:v>
                </c:pt>
                <c:pt idx="23">
                  <c:v>125.5</c:v>
                </c:pt>
                <c:pt idx="24">
                  <c:v>135.5</c:v>
                </c:pt>
                <c:pt idx="25">
                  <c:v>135.5</c:v>
                </c:pt>
                <c:pt idx="26">
                  <c:v>135.5</c:v>
                </c:pt>
                <c:pt idx="27">
                  <c:v>135.5</c:v>
                </c:pt>
                <c:pt idx="28">
                  <c:v>135.5</c:v>
                </c:pt>
                <c:pt idx="29">
                  <c:v>135.5</c:v>
                </c:pt>
                <c:pt idx="30">
                  <c:v>145.5</c:v>
                </c:pt>
                <c:pt idx="31">
                  <c:v>145.5</c:v>
                </c:pt>
                <c:pt idx="32">
                  <c:v>145.5</c:v>
                </c:pt>
                <c:pt idx="33">
                  <c:v>145.5</c:v>
                </c:pt>
                <c:pt idx="34">
                  <c:v>145.5</c:v>
                </c:pt>
                <c:pt idx="35">
                  <c:v>145.5</c:v>
                </c:pt>
                <c:pt idx="36">
                  <c:v>155.5</c:v>
                </c:pt>
                <c:pt idx="37">
                  <c:v>155.5</c:v>
                </c:pt>
                <c:pt idx="38">
                  <c:v>155.5</c:v>
                </c:pt>
                <c:pt idx="39">
                  <c:v>155.5</c:v>
                </c:pt>
                <c:pt idx="40">
                  <c:v>155.5</c:v>
                </c:pt>
                <c:pt idx="41">
                  <c:v>155.5</c:v>
                </c:pt>
                <c:pt idx="42">
                  <c:v>165.5</c:v>
                </c:pt>
                <c:pt idx="43">
                  <c:v>165.5</c:v>
                </c:pt>
                <c:pt idx="44">
                  <c:v>165.5</c:v>
                </c:pt>
                <c:pt idx="45">
                  <c:v>165.5</c:v>
                </c:pt>
                <c:pt idx="46">
                  <c:v>165.5</c:v>
                </c:pt>
                <c:pt idx="47">
                  <c:v>165.5</c:v>
                </c:pt>
                <c:pt idx="48">
                  <c:v>175.5</c:v>
                </c:pt>
                <c:pt idx="49">
                  <c:v>175.5</c:v>
                </c:pt>
                <c:pt idx="50">
                  <c:v>175.5</c:v>
                </c:pt>
                <c:pt idx="51">
                  <c:v>175.5</c:v>
                </c:pt>
                <c:pt idx="52">
                  <c:v>175.5</c:v>
                </c:pt>
                <c:pt idx="53">
                  <c:v>175.5</c:v>
                </c:pt>
                <c:pt idx="54">
                  <c:v>185.5</c:v>
                </c:pt>
                <c:pt idx="55">
                  <c:v>185.5</c:v>
                </c:pt>
                <c:pt idx="56">
                  <c:v>185.5</c:v>
                </c:pt>
                <c:pt idx="57">
                  <c:v>185.5</c:v>
                </c:pt>
                <c:pt idx="58">
                  <c:v>185.5</c:v>
                </c:pt>
                <c:pt idx="59">
                  <c:v>185.5</c:v>
                </c:pt>
                <c:pt idx="60">
                  <c:v>195.5</c:v>
                </c:pt>
                <c:pt idx="61">
                  <c:v>195.5</c:v>
                </c:pt>
                <c:pt idx="62">
                  <c:v>195.5</c:v>
                </c:pt>
                <c:pt idx="63">
                  <c:v>195.5</c:v>
                </c:pt>
                <c:pt idx="64">
                  <c:v>195.5</c:v>
                </c:pt>
                <c:pt idx="65">
                  <c:v>195.5</c:v>
                </c:pt>
                <c:pt idx="66">
                  <c:v>205.5</c:v>
                </c:pt>
                <c:pt idx="67">
                  <c:v>205.5</c:v>
                </c:pt>
                <c:pt idx="68">
                  <c:v>205.5</c:v>
                </c:pt>
                <c:pt idx="69">
                  <c:v>205.5</c:v>
                </c:pt>
                <c:pt idx="70">
                  <c:v>205.5</c:v>
                </c:pt>
                <c:pt idx="71">
                  <c:v>205.5</c:v>
                </c:pt>
                <c:pt idx="72">
                  <c:v>215.5</c:v>
                </c:pt>
                <c:pt idx="73">
                  <c:v>215.5</c:v>
                </c:pt>
                <c:pt idx="74">
                  <c:v>215.5</c:v>
                </c:pt>
                <c:pt idx="75">
                  <c:v>215.5</c:v>
                </c:pt>
                <c:pt idx="76">
                  <c:v>215.5</c:v>
                </c:pt>
                <c:pt idx="77">
                  <c:v>215.5</c:v>
                </c:pt>
                <c:pt idx="78">
                  <c:v>225.5</c:v>
                </c:pt>
                <c:pt idx="79">
                  <c:v>225.5</c:v>
                </c:pt>
                <c:pt idx="80">
                  <c:v>225.5</c:v>
                </c:pt>
                <c:pt idx="81">
                  <c:v>225.5</c:v>
                </c:pt>
                <c:pt idx="82">
                  <c:v>225.5</c:v>
                </c:pt>
                <c:pt idx="83">
                  <c:v>225.5</c:v>
                </c:pt>
                <c:pt idx="84">
                  <c:v>235.5</c:v>
                </c:pt>
                <c:pt idx="85">
                  <c:v>235.5</c:v>
                </c:pt>
                <c:pt idx="86">
                  <c:v>235.5</c:v>
                </c:pt>
                <c:pt idx="87">
                  <c:v>235.5</c:v>
                </c:pt>
                <c:pt idx="88">
                  <c:v>235.5</c:v>
                </c:pt>
                <c:pt idx="89">
                  <c:v>235.5</c:v>
                </c:pt>
                <c:pt idx="90">
                  <c:v>245.5</c:v>
                </c:pt>
                <c:pt idx="91">
                  <c:v>245.5</c:v>
                </c:pt>
                <c:pt idx="92">
                  <c:v>245.5</c:v>
                </c:pt>
                <c:pt idx="93">
                  <c:v>245.5</c:v>
                </c:pt>
                <c:pt idx="94">
                  <c:v>245.5</c:v>
                </c:pt>
                <c:pt idx="95">
                  <c:v>245.5</c:v>
                </c:pt>
                <c:pt idx="96">
                  <c:v>255.5</c:v>
                </c:pt>
                <c:pt idx="97">
                  <c:v>255.5</c:v>
                </c:pt>
                <c:pt idx="98">
                  <c:v>255.5</c:v>
                </c:pt>
                <c:pt idx="99">
                  <c:v>255.5</c:v>
                </c:pt>
                <c:pt idx="100">
                  <c:v>255.5</c:v>
                </c:pt>
                <c:pt idx="101">
                  <c:v>255.5</c:v>
                </c:pt>
                <c:pt idx="102">
                  <c:v>265.5</c:v>
                </c:pt>
                <c:pt idx="103">
                  <c:v>265.5</c:v>
                </c:pt>
                <c:pt idx="104">
                  <c:v>265.5</c:v>
                </c:pt>
                <c:pt idx="105">
                  <c:v>265.5</c:v>
                </c:pt>
                <c:pt idx="106">
                  <c:v>265.5</c:v>
                </c:pt>
                <c:pt idx="107">
                  <c:v>265.5</c:v>
                </c:pt>
                <c:pt idx="108">
                  <c:v>275.5</c:v>
                </c:pt>
                <c:pt idx="109">
                  <c:v>275.5</c:v>
                </c:pt>
                <c:pt idx="110">
                  <c:v>275.5</c:v>
                </c:pt>
                <c:pt idx="111">
                  <c:v>275.5</c:v>
                </c:pt>
                <c:pt idx="112">
                  <c:v>275.5</c:v>
                </c:pt>
                <c:pt idx="113">
                  <c:v>275.5</c:v>
                </c:pt>
                <c:pt idx="114">
                  <c:v>285.5</c:v>
                </c:pt>
                <c:pt idx="115">
                  <c:v>285.5</c:v>
                </c:pt>
                <c:pt idx="116">
                  <c:v>285.5</c:v>
                </c:pt>
                <c:pt idx="117">
                  <c:v>285.5</c:v>
                </c:pt>
                <c:pt idx="118">
                  <c:v>285.5</c:v>
                </c:pt>
                <c:pt idx="119">
                  <c:v>285.5</c:v>
                </c:pt>
                <c:pt idx="120">
                  <c:v>295.5</c:v>
                </c:pt>
                <c:pt idx="121">
                  <c:v>295.5</c:v>
                </c:pt>
                <c:pt idx="122">
                  <c:v>295.5</c:v>
                </c:pt>
                <c:pt idx="123">
                  <c:v>295.5</c:v>
                </c:pt>
                <c:pt idx="124">
                  <c:v>295.5</c:v>
                </c:pt>
                <c:pt idx="125">
                  <c:v>295.5</c:v>
                </c:pt>
                <c:pt idx="126">
                  <c:v>305.5</c:v>
                </c:pt>
                <c:pt idx="127">
                  <c:v>305.5</c:v>
                </c:pt>
                <c:pt idx="128">
                  <c:v>305.5</c:v>
                </c:pt>
                <c:pt idx="129">
                  <c:v>305.5</c:v>
                </c:pt>
                <c:pt idx="130">
                  <c:v>305.5</c:v>
                </c:pt>
                <c:pt idx="131">
                  <c:v>305.5</c:v>
                </c:pt>
                <c:pt idx="132">
                  <c:v>315.5</c:v>
                </c:pt>
                <c:pt idx="133">
                  <c:v>315.5</c:v>
                </c:pt>
                <c:pt idx="134">
                  <c:v>315.5</c:v>
                </c:pt>
                <c:pt idx="135">
                  <c:v>315.5</c:v>
                </c:pt>
                <c:pt idx="136">
                  <c:v>315.5</c:v>
                </c:pt>
                <c:pt idx="137">
                  <c:v>315.5</c:v>
                </c:pt>
                <c:pt idx="138">
                  <c:v>325.5</c:v>
                </c:pt>
                <c:pt idx="139">
                  <c:v>325.5</c:v>
                </c:pt>
                <c:pt idx="140">
                  <c:v>325.5</c:v>
                </c:pt>
                <c:pt idx="141">
                  <c:v>325.5</c:v>
                </c:pt>
                <c:pt idx="142">
                  <c:v>325.5</c:v>
                </c:pt>
                <c:pt idx="143">
                  <c:v>325.5</c:v>
                </c:pt>
                <c:pt idx="144">
                  <c:v>335.5</c:v>
                </c:pt>
                <c:pt idx="145">
                  <c:v>335.5</c:v>
                </c:pt>
                <c:pt idx="146">
                  <c:v>335.5</c:v>
                </c:pt>
                <c:pt idx="147">
                  <c:v>335.5</c:v>
                </c:pt>
                <c:pt idx="148">
                  <c:v>335.5</c:v>
                </c:pt>
                <c:pt idx="149">
                  <c:v>335.5</c:v>
                </c:pt>
                <c:pt idx="150">
                  <c:v>345.5</c:v>
                </c:pt>
                <c:pt idx="151">
                  <c:v>345.5</c:v>
                </c:pt>
                <c:pt idx="152">
                  <c:v>345.5</c:v>
                </c:pt>
                <c:pt idx="153">
                  <c:v>345.5</c:v>
                </c:pt>
                <c:pt idx="154">
                  <c:v>345.5</c:v>
                </c:pt>
                <c:pt idx="155">
                  <c:v>345.5</c:v>
                </c:pt>
                <c:pt idx="156">
                  <c:v>355.5</c:v>
                </c:pt>
                <c:pt idx="157">
                  <c:v>355.5</c:v>
                </c:pt>
                <c:pt idx="158">
                  <c:v>355.5</c:v>
                </c:pt>
                <c:pt idx="159">
                  <c:v>355.5</c:v>
                </c:pt>
                <c:pt idx="160">
                  <c:v>355.5</c:v>
                </c:pt>
                <c:pt idx="161">
                  <c:v>355.5</c:v>
                </c:pt>
                <c:pt idx="162">
                  <c:v>365.5</c:v>
                </c:pt>
                <c:pt idx="163">
                  <c:v>365.5</c:v>
                </c:pt>
                <c:pt idx="164">
                  <c:v>365.5</c:v>
                </c:pt>
                <c:pt idx="165">
                  <c:v>365.5</c:v>
                </c:pt>
                <c:pt idx="166">
                  <c:v>365.5</c:v>
                </c:pt>
                <c:pt idx="167">
                  <c:v>365.5</c:v>
                </c:pt>
                <c:pt idx="168">
                  <c:v>375.5</c:v>
                </c:pt>
                <c:pt idx="169">
                  <c:v>375.5</c:v>
                </c:pt>
                <c:pt idx="170">
                  <c:v>375.5</c:v>
                </c:pt>
                <c:pt idx="171">
                  <c:v>375.5</c:v>
                </c:pt>
                <c:pt idx="172">
                  <c:v>375.5</c:v>
                </c:pt>
                <c:pt idx="173">
                  <c:v>375.5</c:v>
                </c:pt>
                <c:pt idx="174">
                  <c:v>385.5</c:v>
                </c:pt>
                <c:pt idx="175">
                  <c:v>385.5</c:v>
                </c:pt>
                <c:pt idx="176">
                  <c:v>385.5</c:v>
                </c:pt>
                <c:pt idx="177">
                  <c:v>385.5</c:v>
                </c:pt>
                <c:pt idx="178">
                  <c:v>385.5</c:v>
                </c:pt>
                <c:pt idx="179">
                  <c:v>385.5</c:v>
                </c:pt>
                <c:pt idx="180">
                  <c:v>395.5</c:v>
                </c:pt>
                <c:pt idx="181">
                  <c:v>395.5</c:v>
                </c:pt>
                <c:pt idx="182">
                  <c:v>395.5</c:v>
                </c:pt>
                <c:pt idx="183">
                  <c:v>395.5</c:v>
                </c:pt>
                <c:pt idx="184">
                  <c:v>395.5</c:v>
                </c:pt>
                <c:pt idx="185">
                  <c:v>395.5</c:v>
                </c:pt>
                <c:pt idx="186">
                  <c:v>405.5</c:v>
                </c:pt>
                <c:pt idx="187">
                  <c:v>405.5</c:v>
                </c:pt>
                <c:pt idx="188">
                  <c:v>405.5</c:v>
                </c:pt>
                <c:pt idx="189">
                  <c:v>405.5</c:v>
                </c:pt>
                <c:pt idx="190">
                  <c:v>405.5</c:v>
                </c:pt>
                <c:pt idx="191">
                  <c:v>405.5</c:v>
                </c:pt>
                <c:pt idx="192">
                  <c:v>415.5</c:v>
                </c:pt>
                <c:pt idx="193">
                  <c:v>415.5</c:v>
                </c:pt>
                <c:pt idx="194">
                  <c:v>415.5</c:v>
                </c:pt>
                <c:pt idx="195">
                  <c:v>415.5</c:v>
                </c:pt>
                <c:pt idx="196">
                  <c:v>415.5</c:v>
                </c:pt>
                <c:pt idx="197">
                  <c:v>415.5</c:v>
                </c:pt>
                <c:pt idx="198">
                  <c:v>425.5</c:v>
                </c:pt>
                <c:pt idx="199">
                  <c:v>425.5</c:v>
                </c:pt>
                <c:pt idx="200">
                  <c:v>425.5</c:v>
                </c:pt>
                <c:pt idx="201">
                  <c:v>425.5</c:v>
                </c:pt>
                <c:pt idx="202">
                  <c:v>425.5</c:v>
                </c:pt>
                <c:pt idx="203">
                  <c:v>425.5</c:v>
                </c:pt>
                <c:pt idx="204">
                  <c:v>435.5</c:v>
                </c:pt>
                <c:pt idx="205">
                  <c:v>435.5</c:v>
                </c:pt>
                <c:pt idx="206">
                  <c:v>435.5</c:v>
                </c:pt>
                <c:pt idx="207">
                  <c:v>435.5</c:v>
                </c:pt>
                <c:pt idx="208">
                  <c:v>435.5</c:v>
                </c:pt>
                <c:pt idx="209">
                  <c:v>435.5</c:v>
                </c:pt>
                <c:pt idx="210">
                  <c:v>445.5</c:v>
                </c:pt>
                <c:pt idx="211">
                  <c:v>445.5</c:v>
                </c:pt>
                <c:pt idx="212">
                  <c:v>445.5</c:v>
                </c:pt>
                <c:pt idx="213">
                  <c:v>445.5</c:v>
                </c:pt>
                <c:pt idx="214">
                  <c:v>445.5</c:v>
                </c:pt>
                <c:pt idx="215">
                  <c:v>445.5</c:v>
                </c:pt>
                <c:pt idx="216">
                  <c:v>455.5</c:v>
                </c:pt>
                <c:pt idx="217">
                  <c:v>455.5</c:v>
                </c:pt>
                <c:pt idx="218">
                  <c:v>455.5</c:v>
                </c:pt>
                <c:pt idx="219">
                  <c:v>455.5</c:v>
                </c:pt>
                <c:pt idx="220">
                  <c:v>455.5</c:v>
                </c:pt>
                <c:pt idx="221">
                  <c:v>455.5</c:v>
                </c:pt>
                <c:pt idx="222">
                  <c:v>465.5</c:v>
                </c:pt>
                <c:pt idx="223">
                  <c:v>465.5</c:v>
                </c:pt>
                <c:pt idx="224">
                  <c:v>465.5</c:v>
                </c:pt>
                <c:pt idx="225">
                  <c:v>465.5</c:v>
                </c:pt>
                <c:pt idx="226">
                  <c:v>465.5</c:v>
                </c:pt>
                <c:pt idx="227">
                  <c:v>465.5</c:v>
                </c:pt>
                <c:pt idx="228">
                  <c:v>475.5</c:v>
                </c:pt>
                <c:pt idx="229">
                  <c:v>475.5</c:v>
                </c:pt>
                <c:pt idx="230">
                  <c:v>475.5</c:v>
                </c:pt>
                <c:pt idx="231">
                  <c:v>475.5</c:v>
                </c:pt>
                <c:pt idx="232">
                  <c:v>475.5</c:v>
                </c:pt>
                <c:pt idx="233">
                  <c:v>475.5</c:v>
                </c:pt>
                <c:pt idx="234">
                  <c:v>485.5</c:v>
                </c:pt>
                <c:pt idx="235">
                  <c:v>485.5</c:v>
                </c:pt>
                <c:pt idx="236">
                  <c:v>485.5</c:v>
                </c:pt>
                <c:pt idx="237">
                  <c:v>485.5</c:v>
                </c:pt>
                <c:pt idx="238">
                  <c:v>485.5</c:v>
                </c:pt>
                <c:pt idx="239">
                  <c:v>485.5</c:v>
                </c:pt>
                <c:pt idx="240">
                  <c:v>495.5</c:v>
                </c:pt>
                <c:pt idx="241">
                  <c:v>495.5</c:v>
                </c:pt>
                <c:pt idx="242">
                  <c:v>495.5</c:v>
                </c:pt>
                <c:pt idx="243">
                  <c:v>495.5</c:v>
                </c:pt>
                <c:pt idx="244">
                  <c:v>495.5</c:v>
                </c:pt>
                <c:pt idx="245">
                  <c:v>495.5</c:v>
                </c:pt>
                <c:pt idx="246">
                  <c:v>505.5</c:v>
                </c:pt>
                <c:pt idx="247">
                  <c:v>505.5</c:v>
                </c:pt>
                <c:pt idx="248">
                  <c:v>505.5</c:v>
                </c:pt>
                <c:pt idx="249">
                  <c:v>505.5</c:v>
                </c:pt>
                <c:pt idx="250">
                  <c:v>505.5</c:v>
                </c:pt>
                <c:pt idx="251">
                  <c:v>505.5</c:v>
                </c:pt>
                <c:pt idx="252">
                  <c:v>515.5</c:v>
                </c:pt>
                <c:pt idx="253">
                  <c:v>515.5</c:v>
                </c:pt>
                <c:pt idx="254">
                  <c:v>515.5</c:v>
                </c:pt>
                <c:pt idx="255">
                  <c:v>515.5</c:v>
                </c:pt>
                <c:pt idx="256">
                  <c:v>515.5</c:v>
                </c:pt>
                <c:pt idx="257">
                  <c:v>515.5</c:v>
                </c:pt>
                <c:pt idx="258">
                  <c:v>525.5</c:v>
                </c:pt>
                <c:pt idx="259">
                  <c:v>525.5</c:v>
                </c:pt>
                <c:pt idx="260">
                  <c:v>525.5</c:v>
                </c:pt>
                <c:pt idx="261">
                  <c:v>525.5</c:v>
                </c:pt>
                <c:pt idx="262">
                  <c:v>525.5</c:v>
                </c:pt>
                <c:pt idx="263">
                  <c:v>525.5</c:v>
                </c:pt>
                <c:pt idx="264">
                  <c:v>535.5</c:v>
                </c:pt>
                <c:pt idx="265">
                  <c:v>535.5</c:v>
                </c:pt>
                <c:pt idx="266">
                  <c:v>535.5</c:v>
                </c:pt>
                <c:pt idx="267">
                  <c:v>535.5</c:v>
                </c:pt>
                <c:pt idx="268">
                  <c:v>535.5</c:v>
                </c:pt>
                <c:pt idx="269">
                  <c:v>535.5</c:v>
                </c:pt>
                <c:pt idx="270">
                  <c:v>545.5</c:v>
                </c:pt>
                <c:pt idx="271">
                  <c:v>545.5</c:v>
                </c:pt>
                <c:pt idx="272">
                  <c:v>545.5</c:v>
                </c:pt>
                <c:pt idx="273">
                  <c:v>545.5</c:v>
                </c:pt>
                <c:pt idx="274">
                  <c:v>545.5</c:v>
                </c:pt>
                <c:pt idx="275">
                  <c:v>545.5</c:v>
                </c:pt>
                <c:pt idx="276">
                  <c:v>555.5</c:v>
                </c:pt>
                <c:pt idx="277">
                  <c:v>555.5</c:v>
                </c:pt>
                <c:pt idx="278">
                  <c:v>555.5</c:v>
                </c:pt>
                <c:pt idx="279">
                  <c:v>555.5</c:v>
                </c:pt>
                <c:pt idx="280">
                  <c:v>555.5</c:v>
                </c:pt>
                <c:pt idx="281">
                  <c:v>555.5</c:v>
                </c:pt>
                <c:pt idx="282">
                  <c:v>565.5</c:v>
                </c:pt>
                <c:pt idx="283">
                  <c:v>565.5</c:v>
                </c:pt>
                <c:pt idx="284">
                  <c:v>565.5</c:v>
                </c:pt>
                <c:pt idx="285">
                  <c:v>565.5</c:v>
                </c:pt>
                <c:pt idx="286">
                  <c:v>565.5</c:v>
                </c:pt>
                <c:pt idx="287">
                  <c:v>565.5</c:v>
                </c:pt>
                <c:pt idx="288">
                  <c:v>575.5</c:v>
                </c:pt>
                <c:pt idx="289">
                  <c:v>575.5</c:v>
                </c:pt>
                <c:pt idx="290">
                  <c:v>575.5</c:v>
                </c:pt>
                <c:pt idx="291">
                  <c:v>575.5</c:v>
                </c:pt>
                <c:pt idx="292">
                  <c:v>575.5</c:v>
                </c:pt>
                <c:pt idx="293">
                  <c:v>585.5</c:v>
                </c:pt>
                <c:pt idx="294">
                  <c:v>585.5</c:v>
                </c:pt>
                <c:pt idx="295">
                  <c:v>585.5</c:v>
                </c:pt>
                <c:pt idx="296">
                  <c:v>585.5</c:v>
                </c:pt>
                <c:pt idx="297">
                  <c:v>585.5</c:v>
                </c:pt>
                <c:pt idx="298">
                  <c:v>585.5</c:v>
                </c:pt>
                <c:pt idx="299">
                  <c:v>595.5</c:v>
                </c:pt>
                <c:pt idx="300">
                  <c:v>595.5</c:v>
                </c:pt>
                <c:pt idx="301">
                  <c:v>595.5</c:v>
                </c:pt>
                <c:pt idx="302">
                  <c:v>595.5</c:v>
                </c:pt>
                <c:pt idx="303">
                  <c:v>595.5</c:v>
                </c:pt>
                <c:pt idx="304">
                  <c:v>595.5</c:v>
                </c:pt>
                <c:pt idx="305">
                  <c:v>605.5</c:v>
                </c:pt>
                <c:pt idx="306">
                  <c:v>605.5</c:v>
                </c:pt>
                <c:pt idx="307">
                  <c:v>605.5</c:v>
                </c:pt>
                <c:pt idx="308">
                  <c:v>605.5</c:v>
                </c:pt>
                <c:pt idx="309">
                  <c:v>605.5</c:v>
                </c:pt>
                <c:pt idx="310">
                  <c:v>615.5</c:v>
                </c:pt>
                <c:pt idx="311">
                  <c:v>615.5</c:v>
                </c:pt>
                <c:pt idx="312">
                  <c:v>615.5</c:v>
                </c:pt>
                <c:pt idx="313">
                  <c:v>615.5</c:v>
                </c:pt>
                <c:pt idx="314">
                  <c:v>615.5</c:v>
                </c:pt>
                <c:pt idx="315">
                  <c:v>615.5</c:v>
                </c:pt>
                <c:pt idx="316">
                  <c:v>625.5</c:v>
                </c:pt>
                <c:pt idx="317">
                  <c:v>625.5</c:v>
                </c:pt>
                <c:pt idx="318">
                  <c:v>625.5</c:v>
                </c:pt>
                <c:pt idx="319">
                  <c:v>625.5</c:v>
                </c:pt>
                <c:pt idx="320">
                  <c:v>625.5</c:v>
                </c:pt>
                <c:pt idx="321">
                  <c:v>625.5</c:v>
                </c:pt>
                <c:pt idx="322">
                  <c:v>635.5</c:v>
                </c:pt>
                <c:pt idx="323">
                  <c:v>635.5</c:v>
                </c:pt>
                <c:pt idx="324">
                  <c:v>635.5</c:v>
                </c:pt>
                <c:pt idx="325">
                  <c:v>635.5</c:v>
                </c:pt>
                <c:pt idx="326">
                  <c:v>635.5</c:v>
                </c:pt>
                <c:pt idx="327">
                  <c:v>635.5</c:v>
                </c:pt>
                <c:pt idx="328">
                  <c:v>645.5</c:v>
                </c:pt>
                <c:pt idx="329">
                  <c:v>645.5</c:v>
                </c:pt>
                <c:pt idx="330">
                  <c:v>645.5</c:v>
                </c:pt>
                <c:pt idx="331">
                  <c:v>645.5</c:v>
                </c:pt>
                <c:pt idx="332">
                  <c:v>645.5</c:v>
                </c:pt>
                <c:pt idx="333">
                  <c:v>655.5</c:v>
                </c:pt>
                <c:pt idx="334">
                  <c:v>655.5</c:v>
                </c:pt>
                <c:pt idx="335">
                  <c:v>655.5</c:v>
                </c:pt>
                <c:pt idx="336">
                  <c:v>655.5</c:v>
                </c:pt>
                <c:pt idx="337">
                  <c:v>655.5</c:v>
                </c:pt>
                <c:pt idx="338">
                  <c:v>665.5</c:v>
                </c:pt>
                <c:pt idx="339">
                  <c:v>665.5</c:v>
                </c:pt>
                <c:pt idx="340">
                  <c:v>665.5</c:v>
                </c:pt>
                <c:pt idx="341">
                  <c:v>665.5</c:v>
                </c:pt>
                <c:pt idx="342">
                  <c:v>665.5</c:v>
                </c:pt>
                <c:pt idx="343">
                  <c:v>665.5</c:v>
                </c:pt>
                <c:pt idx="344">
                  <c:v>675.5</c:v>
                </c:pt>
                <c:pt idx="345">
                  <c:v>675.5</c:v>
                </c:pt>
                <c:pt idx="346">
                  <c:v>675.5</c:v>
                </c:pt>
                <c:pt idx="347">
                  <c:v>675.5</c:v>
                </c:pt>
                <c:pt idx="348">
                  <c:v>685.5</c:v>
                </c:pt>
                <c:pt idx="349">
                  <c:v>685.5</c:v>
                </c:pt>
                <c:pt idx="350">
                  <c:v>685.5</c:v>
                </c:pt>
                <c:pt idx="351">
                  <c:v>685.5</c:v>
                </c:pt>
                <c:pt idx="352">
                  <c:v>695.5</c:v>
                </c:pt>
                <c:pt idx="353">
                  <c:v>695.5</c:v>
                </c:pt>
                <c:pt idx="354">
                  <c:v>695.5</c:v>
                </c:pt>
                <c:pt idx="355">
                  <c:v>695.5</c:v>
                </c:pt>
                <c:pt idx="356">
                  <c:v>705.5</c:v>
                </c:pt>
                <c:pt idx="357">
                  <c:v>705.5</c:v>
                </c:pt>
                <c:pt idx="358">
                  <c:v>705.5</c:v>
                </c:pt>
                <c:pt idx="359">
                  <c:v>705.5</c:v>
                </c:pt>
                <c:pt idx="360">
                  <c:v>705.5</c:v>
                </c:pt>
                <c:pt idx="361">
                  <c:v>715.5</c:v>
                </c:pt>
                <c:pt idx="362">
                  <c:v>715.5</c:v>
                </c:pt>
                <c:pt idx="363">
                  <c:v>725.5</c:v>
                </c:pt>
              </c:numCache>
            </c:numRef>
          </c:xVal>
          <c:yVal>
            <c:numRef>
              <c:f>'Home Dashboard Segment Bubbles'!$E$402:$E$765</c:f>
              <c:numCache>
                <c:formatCode>General</c:formatCode>
                <c:ptCount val="364"/>
                <c:pt idx="0">
                  <c:v>1</c:v>
                </c:pt>
                <c:pt idx="1">
                  <c:v>2</c:v>
                </c:pt>
                <c:pt idx="2">
                  <c:v>3</c:v>
                </c:pt>
                <c:pt idx="3">
                  <c:v>4</c:v>
                </c:pt>
                <c:pt idx="4">
                  <c:v>5</c:v>
                </c:pt>
                <c:pt idx="5">
                  <c:v>6</c:v>
                </c:pt>
                <c:pt idx="6">
                  <c:v>1</c:v>
                </c:pt>
                <c:pt idx="7">
                  <c:v>2</c:v>
                </c:pt>
                <c:pt idx="8">
                  <c:v>3</c:v>
                </c:pt>
                <c:pt idx="9">
                  <c:v>4</c:v>
                </c:pt>
                <c:pt idx="10">
                  <c:v>5</c:v>
                </c:pt>
                <c:pt idx="11">
                  <c:v>6</c:v>
                </c:pt>
                <c:pt idx="12">
                  <c:v>1</c:v>
                </c:pt>
                <c:pt idx="13">
                  <c:v>2</c:v>
                </c:pt>
                <c:pt idx="14">
                  <c:v>3</c:v>
                </c:pt>
                <c:pt idx="15">
                  <c:v>4</c:v>
                </c:pt>
                <c:pt idx="16">
                  <c:v>5</c:v>
                </c:pt>
                <c:pt idx="17">
                  <c:v>6</c:v>
                </c:pt>
                <c:pt idx="18">
                  <c:v>1</c:v>
                </c:pt>
                <c:pt idx="19">
                  <c:v>2</c:v>
                </c:pt>
                <c:pt idx="20">
                  <c:v>3</c:v>
                </c:pt>
                <c:pt idx="21">
                  <c:v>4</c:v>
                </c:pt>
                <c:pt idx="22">
                  <c:v>5</c:v>
                </c:pt>
                <c:pt idx="23">
                  <c:v>6</c:v>
                </c:pt>
                <c:pt idx="24">
                  <c:v>1</c:v>
                </c:pt>
                <c:pt idx="25">
                  <c:v>2</c:v>
                </c:pt>
                <c:pt idx="26">
                  <c:v>3</c:v>
                </c:pt>
                <c:pt idx="27">
                  <c:v>4</c:v>
                </c:pt>
                <c:pt idx="28">
                  <c:v>5</c:v>
                </c:pt>
                <c:pt idx="29">
                  <c:v>6</c:v>
                </c:pt>
                <c:pt idx="30">
                  <c:v>1</c:v>
                </c:pt>
                <c:pt idx="31">
                  <c:v>2</c:v>
                </c:pt>
                <c:pt idx="32">
                  <c:v>3</c:v>
                </c:pt>
                <c:pt idx="33">
                  <c:v>4</c:v>
                </c:pt>
                <c:pt idx="34">
                  <c:v>5</c:v>
                </c:pt>
                <c:pt idx="35">
                  <c:v>6</c:v>
                </c:pt>
                <c:pt idx="36">
                  <c:v>1</c:v>
                </c:pt>
                <c:pt idx="37">
                  <c:v>2</c:v>
                </c:pt>
                <c:pt idx="38">
                  <c:v>3</c:v>
                </c:pt>
                <c:pt idx="39">
                  <c:v>4</c:v>
                </c:pt>
                <c:pt idx="40">
                  <c:v>5</c:v>
                </c:pt>
                <c:pt idx="41">
                  <c:v>6</c:v>
                </c:pt>
                <c:pt idx="42">
                  <c:v>1</c:v>
                </c:pt>
                <c:pt idx="43">
                  <c:v>2</c:v>
                </c:pt>
                <c:pt idx="44">
                  <c:v>3</c:v>
                </c:pt>
                <c:pt idx="45">
                  <c:v>4</c:v>
                </c:pt>
                <c:pt idx="46">
                  <c:v>5</c:v>
                </c:pt>
                <c:pt idx="47">
                  <c:v>6</c:v>
                </c:pt>
                <c:pt idx="48">
                  <c:v>1</c:v>
                </c:pt>
                <c:pt idx="49">
                  <c:v>2</c:v>
                </c:pt>
                <c:pt idx="50">
                  <c:v>3</c:v>
                </c:pt>
                <c:pt idx="51">
                  <c:v>4</c:v>
                </c:pt>
                <c:pt idx="52">
                  <c:v>5</c:v>
                </c:pt>
                <c:pt idx="53">
                  <c:v>6</c:v>
                </c:pt>
                <c:pt idx="54">
                  <c:v>1</c:v>
                </c:pt>
                <c:pt idx="55">
                  <c:v>2</c:v>
                </c:pt>
                <c:pt idx="56">
                  <c:v>3</c:v>
                </c:pt>
                <c:pt idx="57">
                  <c:v>4</c:v>
                </c:pt>
                <c:pt idx="58">
                  <c:v>5</c:v>
                </c:pt>
                <c:pt idx="59">
                  <c:v>6</c:v>
                </c:pt>
                <c:pt idx="60">
                  <c:v>1</c:v>
                </c:pt>
                <c:pt idx="61">
                  <c:v>2</c:v>
                </c:pt>
                <c:pt idx="62">
                  <c:v>3</c:v>
                </c:pt>
                <c:pt idx="63">
                  <c:v>4</c:v>
                </c:pt>
                <c:pt idx="64">
                  <c:v>5</c:v>
                </c:pt>
                <c:pt idx="65">
                  <c:v>6</c:v>
                </c:pt>
                <c:pt idx="66">
                  <c:v>1</c:v>
                </c:pt>
                <c:pt idx="67">
                  <c:v>2</c:v>
                </c:pt>
                <c:pt idx="68">
                  <c:v>3</c:v>
                </c:pt>
                <c:pt idx="69">
                  <c:v>4</c:v>
                </c:pt>
                <c:pt idx="70">
                  <c:v>5</c:v>
                </c:pt>
                <c:pt idx="71">
                  <c:v>6</c:v>
                </c:pt>
                <c:pt idx="72">
                  <c:v>1</c:v>
                </c:pt>
                <c:pt idx="73">
                  <c:v>2</c:v>
                </c:pt>
                <c:pt idx="74">
                  <c:v>3</c:v>
                </c:pt>
                <c:pt idx="75">
                  <c:v>4</c:v>
                </c:pt>
                <c:pt idx="76">
                  <c:v>5</c:v>
                </c:pt>
                <c:pt idx="77">
                  <c:v>6</c:v>
                </c:pt>
                <c:pt idx="78">
                  <c:v>1</c:v>
                </c:pt>
                <c:pt idx="79">
                  <c:v>2</c:v>
                </c:pt>
                <c:pt idx="80">
                  <c:v>3</c:v>
                </c:pt>
                <c:pt idx="81">
                  <c:v>4</c:v>
                </c:pt>
                <c:pt idx="82">
                  <c:v>5</c:v>
                </c:pt>
                <c:pt idx="83">
                  <c:v>6</c:v>
                </c:pt>
                <c:pt idx="84">
                  <c:v>1</c:v>
                </c:pt>
                <c:pt idx="85">
                  <c:v>2</c:v>
                </c:pt>
                <c:pt idx="86">
                  <c:v>3</c:v>
                </c:pt>
                <c:pt idx="87">
                  <c:v>4</c:v>
                </c:pt>
                <c:pt idx="88">
                  <c:v>5</c:v>
                </c:pt>
                <c:pt idx="89">
                  <c:v>6</c:v>
                </c:pt>
                <c:pt idx="90">
                  <c:v>1</c:v>
                </c:pt>
                <c:pt idx="91">
                  <c:v>2</c:v>
                </c:pt>
                <c:pt idx="92">
                  <c:v>3</c:v>
                </c:pt>
                <c:pt idx="93">
                  <c:v>4</c:v>
                </c:pt>
                <c:pt idx="94">
                  <c:v>5</c:v>
                </c:pt>
                <c:pt idx="95">
                  <c:v>6</c:v>
                </c:pt>
                <c:pt idx="96">
                  <c:v>1</c:v>
                </c:pt>
                <c:pt idx="97">
                  <c:v>2</c:v>
                </c:pt>
                <c:pt idx="98">
                  <c:v>3</c:v>
                </c:pt>
                <c:pt idx="99">
                  <c:v>4</c:v>
                </c:pt>
                <c:pt idx="100">
                  <c:v>5</c:v>
                </c:pt>
                <c:pt idx="101">
                  <c:v>6</c:v>
                </c:pt>
                <c:pt idx="102">
                  <c:v>1</c:v>
                </c:pt>
                <c:pt idx="103">
                  <c:v>2</c:v>
                </c:pt>
                <c:pt idx="104">
                  <c:v>3</c:v>
                </c:pt>
                <c:pt idx="105">
                  <c:v>4</c:v>
                </c:pt>
                <c:pt idx="106">
                  <c:v>5</c:v>
                </c:pt>
                <c:pt idx="107">
                  <c:v>6</c:v>
                </c:pt>
                <c:pt idx="108">
                  <c:v>1</c:v>
                </c:pt>
                <c:pt idx="109">
                  <c:v>2</c:v>
                </c:pt>
                <c:pt idx="110">
                  <c:v>3</c:v>
                </c:pt>
                <c:pt idx="111">
                  <c:v>4</c:v>
                </c:pt>
                <c:pt idx="112">
                  <c:v>5</c:v>
                </c:pt>
                <c:pt idx="113">
                  <c:v>6</c:v>
                </c:pt>
                <c:pt idx="114">
                  <c:v>1</c:v>
                </c:pt>
                <c:pt idx="115">
                  <c:v>2</c:v>
                </c:pt>
                <c:pt idx="116">
                  <c:v>3</c:v>
                </c:pt>
                <c:pt idx="117">
                  <c:v>4</c:v>
                </c:pt>
                <c:pt idx="118">
                  <c:v>5</c:v>
                </c:pt>
                <c:pt idx="119">
                  <c:v>6</c:v>
                </c:pt>
                <c:pt idx="120">
                  <c:v>1</c:v>
                </c:pt>
                <c:pt idx="121">
                  <c:v>2</c:v>
                </c:pt>
                <c:pt idx="122">
                  <c:v>3</c:v>
                </c:pt>
                <c:pt idx="123">
                  <c:v>4</c:v>
                </c:pt>
                <c:pt idx="124">
                  <c:v>5</c:v>
                </c:pt>
                <c:pt idx="125">
                  <c:v>6</c:v>
                </c:pt>
                <c:pt idx="126">
                  <c:v>1</c:v>
                </c:pt>
                <c:pt idx="127">
                  <c:v>2</c:v>
                </c:pt>
                <c:pt idx="128">
                  <c:v>3</c:v>
                </c:pt>
                <c:pt idx="129">
                  <c:v>4</c:v>
                </c:pt>
                <c:pt idx="130">
                  <c:v>5</c:v>
                </c:pt>
                <c:pt idx="131">
                  <c:v>6</c:v>
                </c:pt>
                <c:pt idx="132">
                  <c:v>1</c:v>
                </c:pt>
                <c:pt idx="133">
                  <c:v>2</c:v>
                </c:pt>
                <c:pt idx="134">
                  <c:v>3</c:v>
                </c:pt>
                <c:pt idx="135">
                  <c:v>4</c:v>
                </c:pt>
                <c:pt idx="136">
                  <c:v>5</c:v>
                </c:pt>
                <c:pt idx="137">
                  <c:v>6</c:v>
                </c:pt>
                <c:pt idx="138">
                  <c:v>1</c:v>
                </c:pt>
                <c:pt idx="139">
                  <c:v>2</c:v>
                </c:pt>
                <c:pt idx="140">
                  <c:v>3</c:v>
                </c:pt>
                <c:pt idx="141">
                  <c:v>4</c:v>
                </c:pt>
                <c:pt idx="142">
                  <c:v>5</c:v>
                </c:pt>
                <c:pt idx="143">
                  <c:v>6</c:v>
                </c:pt>
                <c:pt idx="144">
                  <c:v>1</c:v>
                </c:pt>
                <c:pt idx="145">
                  <c:v>2</c:v>
                </c:pt>
                <c:pt idx="146">
                  <c:v>3</c:v>
                </c:pt>
                <c:pt idx="147">
                  <c:v>4</c:v>
                </c:pt>
                <c:pt idx="148">
                  <c:v>5</c:v>
                </c:pt>
                <c:pt idx="149">
                  <c:v>6</c:v>
                </c:pt>
                <c:pt idx="150">
                  <c:v>1</c:v>
                </c:pt>
                <c:pt idx="151">
                  <c:v>2</c:v>
                </c:pt>
                <c:pt idx="152">
                  <c:v>3</c:v>
                </c:pt>
                <c:pt idx="153">
                  <c:v>4</c:v>
                </c:pt>
                <c:pt idx="154">
                  <c:v>5</c:v>
                </c:pt>
                <c:pt idx="155">
                  <c:v>6</c:v>
                </c:pt>
                <c:pt idx="156">
                  <c:v>1</c:v>
                </c:pt>
                <c:pt idx="157">
                  <c:v>2</c:v>
                </c:pt>
                <c:pt idx="158">
                  <c:v>3</c:v>
                </c:pt>
                <c:pt idx="159">
                  <c:v>4</c:v>
                </c:pt>
                <c:pt idx="160">
                  <c:v>5</c:v>
                </c:pt>
                <c:pt idx="161">
                  <c:v>6</c:v>
                </c:pt>
                <c:pt idx="162">
                  <c:v>1</c:v>
                </c:pt>
                <c:pt idx="163">
                  <c:v>2</c:v>
                </c:pt>
                <c:pt idx="164">
                  <c:v>3</c:v>
                </c:pt>
                <c:pt idx="165">
                  <c:v>4</c:v>
                </c:pt>
                <c:pt idx="166">
                  <c:v>5</c:v>
                </c:pt>
                <c:pt idx="167">
                  <c:v>6</c:v>
                </c:pt>
                <c:pt idx="168">
                  <c:v>1</c:v>
                </c:pt>
                <c:pt idx="169">
                  <c:v>2</c:v>
                </c:pt>
                <c:pt idx="170">
                  <c:v>3</c:v>
                </c:pt>
                <c:pt idx="171">
                  <c:v>4</c:v>
                </c:pt>
                <c:pt idx="172">
                  <c:v>5</c:v>
                </c:pt>
                <c:pt idx="173">
                  <c:v>6</c:v>
                </c:pt>
                <c:pt idx="174">
                  <c:v>1</c:v>
                </c:pt>
                <c:pt idx="175">
                  <c:v>2</c:v>
                </c:pt>
                <c:pt idx="176">
                  <c:v>3</c:v>
                </c:pt>
                <c:pt idx="177">
                  <c:v>4</c:v>
                </c:pt>
                <c:pt idx="178">
                  <c:v>5</c:v>
                </c:pt>
                <c:pt idx="179">
                  <c:v>6</c:v>
                </c:pt>
                <c:pt idx="180">
                  <c:v>1</c:v>
                </c:pt>
                <c:pt idx="181">
                  <c:v>2</c:v>
                </c:pt>
                <c:pt idx="182">
                  <c:v>3</c:v>
                </c:pt>
                <c:pt idx="183">
                  <c:v>4</c:v>
                </c:pt>
                <c:pt idx="184">
                  <c:v>5</c:v>
                </c:pt>
                <c:pt idx="185">
                  <c:v>6</c:v>
                </c:pt>
                <c:pt idx="186">
                  <c:v>1</c:v>
                </c:pt>
                <c:pt idx="187">
                  <c:v>2</c:v>
                </c:pt>
                <c:pt idx="188">
                  <c:v>3</c:v>
                </c:pt>
                <c:pt idx="189">
                  <c:v>4</c:v>
                </c:pt>
                <c:pt idx="190">
                  <c:v>5</c:v>
                </c:pt>
                <c:pt idx="191">
                  <c:v>6</c:v>
                </c:pt>
                <c:pt idx="192">
                  <c:v>1</c:v>
                </c:pt>
                <c:pt idx="193">
                  <c:v>2</c:v>
                </c:pt>
                <c:pt idx="194">
                  <c:v>3</c:v>
                </c:pt>
                <c:pt idx="195">
                  <c:v>4</c:v>
                </c:pt>
                <c:pt idx="196">
                  <c:v>5</c:v>
                </c:pt>
                <c:pt idx="197">
                  <c:v>6</c:v>
                </c:pt>
                <c:pt idx="198">
                  <c:v>1</c:v>
                </c:pt>
                <c:pt idx="199">
                  <c:v>2</c:v>
                </c:pt>
                <c:pt idx="200">
                  <c:v>3</c:v>
                </c:pt>
                <c:pt idx="201">
                  <c:v>4</c:v>
                </c:pt>
                <c:pt idx="202">
                  <c:v>5</c:v>
                </c:pt>
                <c:pt idx="203">
                  <c:v>6</c:v>
                </c:pt>
                <c:pt idx="204">
                  <c:v>1</c:v>
                </c:pt>
                <c:pt idx="205">
                  <c:v>2</c:v>
                </c:pt>
                <c:pt idx="206">
                  <c:v>3</c:v>
                </c:pt>
                <c:pt idx="207">
                  <c:v>4</c:v>
                </c:pt>
                <c:pt idx="208">
                  <c:v>5</c:v>
                </c:pt>
                <c:pt idx="209">
                  <c:v>6</c:v>
                </c:pt>
                <c:pt idx="210">
                  <c:v>1</c:v>
                </c:pt>
                <c:pt idx="211">
                  <c:v>2</c:v>
                </c:pt>
                <c:pt idx="212">
                  <c:v>3</c:v>
                </c:pt>
                <c:pt idx="213">
                  <c:v>4</c:v>
                </c:pt>
                <c:pt idx="214">
                  <c:v>5</c:v>
                </c:pt>
                <c:pt idx="215">
                  <c:v>6</c:v>
                </c:pt>
                <c:pt idx="216">
                  <c:v>1</c:v>
                </c:pt>
                <c:pt idx="217">
                  <c:v>2</c:v>
                </c:pt>
                <c:pt idx="218">
                  <c:v>3</c:v>
                </c:pt>
                <c:pt idx="219">
                  <c:v>4</c:v>
                </c:pt>
                <c:pt idx="220">
                  <c:v>5</c:v>
                </c:pt>
                <c:pt idx="221">
                  <c:v>6</c:v>
                </c:pt>
                <c:pt idx="222">
                  <c:v>1</c:v>
                </c:pt>
                <c:pt idx="223">
                  <c:v>2</c:v>
                </c:pt>
                <c:pt idx="224">
                  <c:v>3</c:v>
                </c:pt>
                <c:pt idx="225">
                  <c:v>4</c:v>
                </c:pt>
                <c:pt idx="226">
                  <c:v>5</c:v>
                </c:pt>
                <c:pt idx="227">
                  <c:v>6</c:v>
                </c:pt>
                <c:pt idx="228">
                  <c:v>1</c:v>
                </c:pt>
                <c:pt idx="229">
                  <c:v>2</c:v>
                </c:pt>
                <c:pt idx="230">
                  <c:v>3</c:v>
                </c:pt>
                <c:pt idx="231">
                  <c:v>4</c:v>
                </c:pt>
                <c:pt idx="232">
                  <c:v>5</c:v>
                </c:pt>
                <c:pt idx="233">
                  <c:v>6</c:v>
                </c:pt>
                <c:pt idx="234">
                  <c:v>1</c:v>
                </c:pt>
                <c:pt idx="235">
                  <c:v>2</c:v>
                </c:pt>
                <c:pt idx="236">
                  <c:v>3</c:v>
                </c:pt>
                <c:pt idx="237">
                  <c:v>4</c:v>
                </c:pt>
                <c:pt idx="238">
                  <c:v>5</c:v>
                </c:pt>
                <c:pt idx="239">
                  <c:v>6</c:v>
                </c:pt>
                <c:pt idx="240">
                  <c:v>1</c:v>
                </c:pt>
                <c:pt idx="241">
                  <c:v>2</c:v>
                </c:pt>
                <c:pt idx="242">
                  <c:v>3</c:v>
                </c:pt>
                <c:pt idx="243">
                  <c:v>4</c:v>
                </c:pt>
                <c:pt idx="244">
                  <c:v>5</c:v>
                </c:pt>
                <c:pt idx="245">
                  <c:v>6</c:v>
                </c:pt>
                <c:pt idx="246">
                  <c:v>1</c:v>
                </c:pt>
                <c:pt idx="247">
                  <c:v>2</c:v>
                </c:pt>
                <c:pt idx="248">
                  <c:v>3</c:v>
                </c:pt>
                <c:pt idx="249">
                  <c:v>4</c:v>
                </c:pt>
                <c:pt idx="250">
                  <c:v>5</c:v>
                </c:pt>
                <c:pt idx="251">
                  <c:v>6</c:v>
                </c:pt>
                <c:pt idx="252">
                  <c:v>1</c:v>
                </c:pt>
                <c:pt idx="253">
                  <c:v>2</c:v>
                </c:pt>
                <c:pt idx="254">
                  <c:v>3</c:v>
                </c:pt>
                <c:pt idx="255">
                  <c:v>4</c:v>
                </c:pt>
                <c:pt idx="256">
                  <c:v>5</c:v>
                </c:pt>
                <c:pt idx="257">
                  <c:v>6</c:v>
                </c:pt>
                <c:pt idx="258">
                  <c:v>1</c:v>
                </c:pt>
                <c:pt idx="259">
                  <c:v>2</c:v>
                </c:pt>
                <c:pt idx="260">
                  <c:v>3</c:v>
                </c:pt>
                <c:pt idx="261">
                  <c:v>4</c:v>
                </c:pt>
                <c:pt idx="262">
                  <c:v>5</c:v>
                </c:pt>
                <c:pt idx="263">
                  <c:v>6</c:v>
                </c:pt>
                <c:pt idx="264">
                  <c:v>1</c:v>
                </c:pt>
                <c:pt idx="265">
                  <c:v>2</c:v>
                </c:pt>
                <c:pt idx="266">
                  <c:v>3</c:v>
                </c:pt>
                <c:pt idx="267">
                  <c:v>4</c:v>
                </c:pt>
                <c:pt idx="268">
                  <c:v>5</c:v>
                </c:pt>
                <c:pt idx="269">
                  <c:v>6</c:v>
                </c:pt>
                <c:pt idx="270">
                  <c:v>1</c:v>
                </c:pt>
                <c:pt idx="271">
                  <c:v>2</c:v>
                </c:pt>
                <c:pt idx="272">
                  <c:v>3</c:v>
                </c:pt>
                <c:pt idx="273">
                  <c:v>4</c:v>
                </c:pt>
                <c:pt idx="274">
                  <c:v>5</c:v>
                </c:pt>
                <c:pt idx="275">
                  <c:v>6</c:v>
                </c:pt>
                <c:pt idx="276">
                  <c:v>1</c:v>
                </c:pt>
                <c:pt idx="277">
                  <c:v>2</c:v>
                </c:pt>
                <c:pt idx="278">
                  <c:v>3</c:v>
                </c:pt>
                <c:pt idx="279">
                  <c:v>4</c:v>
                </c:pt>
                <c:pt idx="280">
                  <c:v>5</c:v>
                </c:pt>
                <c:pt idx="281">
                  <c:v>6</c:v>
                </c:pt>
                <c:pt idx="282">
                  <c:v>1</c:v>
                </c:pt>
                <c:pt idx="283">
                  <c:v>2</c:v>
                </c:pt>
                <c:pt idx="284">
                  <c:v>3</c:v>
                </c:pt>
                <c:pt idx="285">
                  <c:v>4</c:v>
                </c:pt>
                <c:pt idx="286">
                  <c:v>5</c:v>
                </c:pt>
                <c:pt idx="287">
                  <c:v>6</c:v>
                </c:pt>
                <c:pt idx="288">
                  <c:v>1</c:v>
                </c:pt>
                <c:pt idx="289">
                  <c:v>2</c:v>
                </c:pt>
                <c:pt idx="290">
                  <c:v>3</c:v>
                </c:pt>
                <c:pt idx="291">
                  <c:v>4</c:v>
                </c:pt>
                <c:pt idx="292">
                  <c:v>5</c:v>
                </c:pt>
                <c:pt idx="293">
                  <c:v>1</c:v>
                </c:pt>
                <c:pt idx="294">
                  <c:v>2</c:v>
                </c:pt>
                <c:pt idx="295">
                  <c:v>3</c:v>
                </c:pt>
                <c:pt idx="296">
                  <c:v>4</c:v>
                </c:pt>
                <c:pt idx="297">
                  <c:v>5</c:v>
                </c:pt>
                <c:pt idx="298">
                  <c:v>6</c:v>
                </c:pt>
                <c:pt idx="299">
                  <c:v>1</c:v>
                </c:pt>
                <c:pt idx="300">
                  <c:v>2</c:v>
                </c:pt>
                <c:pt idx="301">
                  <c:v>3</c:v>
                </c:pt>
                <c:pt idx="302">
                  <c:v>4</c:v>
                </c:pt>
                <c:pt idx="303">
                  <c:v>5</c:v>
                </c:pt>
                <c:pt idx="304">
                  <c:v>6</c:v>
                </c:pt>
                <c:pt idx="305">
                  <c:v>1</c:v>
                </c:pt>
                <c:pt idx="306">
                  <c:v>2</c:v>
                </c:pt>
                <c:pt idx="307">
                  <c:v>3</c:v>
                </c:pt>
                <c:pt idx="308">
                  <c:v>4</c:v>
                </c:pt>
                <c:pt idx="309">
                  <c:v>5</c:v>
                </c:pt>
                <c:pt idx="310">
                  <c:v>1</c:v>
                </c:pt>
                <c:pt idx="311">
                  <c:v>2</c:v>
                </c:pt>
                <c:pt idx="312">
                  <c:v>3</c:v>
                </c:pt>
                <c:pt idx="313">
                  <c:v>4</c:v>
                </c:pt>
                <c:pt idx="314">
                  <c:v>5</c:v>
                </c:pt>
                <c:pt idx="315">
                  <c:v>6</c:v>
                </c:pt>
                <c:pt idx="316">
                  <c:v>1</c:v>
                </c:pt>
                <c:pt idx="317">
                  <c:v>2</c:v>
                </c:pt>
                <c:pt idx="318">
                  <c:v>3</c:v>
                </c:pt>
                <c:pt idx="319">
                  <c:v>4</c:v>
                </c:pt>
                <c:pt idx="320">
                  <c:v>5</c:v>
                </c:pt>
                <c:pt idx="321">
                  <c:v>6</c:v>
                </c:pt>
                <c:pt idx="322">
                  <c:v>1</c:v>
                </c:pt>
                <c:pt idx="323">
                  <c:v>2</c:v>
                </c:pt>
                <c:pt idx="324">
                  <c:v>3</c:v>
                </c:pt>
                <c:pt idx="325">
                  <c:v>4</c:v>
                </c:pt>
                <c:pt idx="326">
                  <c:v>5</c:v>
                </c:pt>
                <c:pt idx="327">
                  <c:v>6</c:v>
                </c:pt>
                <c:pt idx="328">
                  <c:v>1</c:v>
                </c:pt>
                <c:pt idx="329">
                  <c:v>2</c:v>
                </c:pt>
                <c:pt idx="330">
                  <c:v>3</c:v>
                </c:pt>
                <c:pt idx="331">
                  <c:v>4</c:v>
                </c:pt>
                <c:pt idx="332">
                  <c:v>5</c:v>
                </c:pt>
                <c:pt idx="333">
                  <c:v>1</c:v>
                </c:pt>
                <c:pt idx="334">
                  <c:v>2</c:v>
                </c:pt>
                <c:pt idx="335">
                  <c:v>3</c:v>
                </c:pt>
                <c:pt idx="336">
                  <c:v>4</c:v>
                </c:pt>
                <c:pt idx="337">
                  <c:v>5</c:v>
                </c:pt>
                <c:pt idx="338">
                  <c:v>1</c:v>
                </c:pt>
                <c:pt idx="339">
                  <c:v>2</c:v>
                </c:pt>
                <c:pt idx="340">
                  <c:v>3</c:v>
                </c:pt>
                <c:pt idx="341">
                  <c:v>4</c:v>
                </c:pt>
                <c:pt idx="342">
                  <c:v>5</c:v>
                </c:pt>
                <c:pt idx="343">
                  <c:v>6</c:v>
                </c:pt>
                <c:pt idx="344">
                  <c:v>1</c:v>
                </c:pt>
                <c:pt idx="345">
                  <c:v>2</c:v>
                </c:pt>
                <c:pt idx="346">
                  <c:v>3</c:v>
                </c:pt>
                <c:pt idx="347">
                  <c:v>4</c:v>
                </c:pt>
                <c:pt idx="348">
                  <c:v>1</c:v>
                </c:pt>
                <c:pt idx="349">
                  <c:v>2</c:v>
                </c:pt>
                <c:pt idx="350">
                  <c:v>3</c:v>
                </c:pt>
                <c:pt idx="351">
                  <c:v>4</c:v>
                </c:pt>
                <c:pt idx="352">
                  <c:v>1</c:v>
                </c:pt>
                <c:pt idx="353">
                  <c:v>2</c:v>
                </c:pt>
                <c:pt idx="354">
                  <c:v>3</c:v>
                </c:pt>
                <c:pt idx="355">
                  <c:v>4</c:v>
                </c:pt>
                <c:pt idx="356">
                  <c:v>1</c:v>
                </c:pt>
                <c:pt idx="357">
                  <c:v>2</c:v>
                </c:pt>
                <c:pt idx="358">
                  <c:v>3</c:v>
                </c:pt>
                <c:pt idx="359">
                  <c:v>4</c:v>
                </c:pt>
                <c:pt idx="360">
                  <c:v>5</c:v>
                </c:pt>
                <c:pt idx="361">
                  <c:v>1</c:v>
                </c:pt>
                <c:pt idx="362">
                  <c:v>2</c:v>
                </c:pt>
                <c:pt idx="363">
                  <c:v>1</c:v>
                </c:pt>
              </c:numCache>
            </c:numRef>
          </c:yVal>
          <c:bubbleSize>
            <c:numRef>
              <c:f>'Home Dashboard Segment Bubbles'!$F$402:$F$765</c:f>
              <c:numCache>
                <c:formatCode>General</c:formatCode>
                <c:ptCount val="364"/>
                <c:pt idx="0">
                  <c:v>12</c:v>
                </c:pt>
                <c:pt idx="1">
                  <c:v>88</c:v>
                </c:pt>
                <c:pt idx="2">
                  <c:v>180</c:v>
                </c:pt>
                <c:pt idx="3">
                  <c:v>262</c:v>
                </c:pt>
                <c:pt idx="4">
                  <c:v>328</c:v>
                </c:pt>
                <c:pt idx="5">
                  <c:v>258</c:v>
                </c:pt>
                <c:pt idx="6">
                  <c:v>12</c:v>
                </c:pt>
                <c:pt idx="7">
                  <c:v>100</c:v>
                </c:pt>
                <c:pt idx="8">
                  <c:v>184</c:v>
                </c:pt>
                <c:pt idx="9">
                  <c:v>266</c:v>
                </c:pt>
                <c:pt idx="10">
                  <c:v>271</c:v>
                </c:pt>
                <c:pt idx="11">
                  <c:v>262</c:v>
                </c:pt>
                <c:pt idx="12">
                  <c:v>15</c:v>
                </c:pt>
                <c:pt idx="13">
                  <c:v>92</c:v>
                </c:pt>
                <c:pt idx="14">
                  <c:v>203</c:v>
                </c:pt>
                <c:pt idx="15">
                  <c:v>242</c:v>
                </c:pt>
                <c:pt idx="16">
                  <c:v>259</c:v>
                </c:pt>
                <c:pt idx="17">
                  <c:v>241</c:v>
                </c:pt>
                <c:pt idx="18">
                  <c:v>19</c:v>
                </c:pt>
                <c:pt idx="19">
                  <c:v>82</c:v>
                </c:pt>
                <c:pt idx="20">
                  <c:v>179</c:v>
                </c:pt>
                <c:pt idx="21">
                  <c:v>227</c:v>
                </c:pt>
                <c:pt idx="22">
                  <c:v>249</c:v>
                </c:pt>
                <c:pt idx="23">
                  <c:v>246</c:v>
                </c:pt>
                <c:pt idx="24">
                  <c:v>15</c:v>
                </c:pt>
                <c:pt idx="25">
                  <c:v>74</c:v>
                </c:pt>
                <c:pt idx="26">
                  <c:v>168</c:v>
                </c:pt>
                <c:pt idx="27">
                  <c:v>230</c:v>
                </c:pt>
                <c:pt idx="28">
                  <c:v>215</c:v>
                </c:pt>
                <c:pt idx="29">
                  <c:v>205</c:v>
                </c:pt>
                <c:pt idx="30">
                  <c:v>18</c:v>
                </c:pt>
                <c:pt idx="31">
                  <c:v>65</c:v>
                </c:pt>
                <c:pt idx="32">
                  <c:v>162</c:v>
                </c:pt>
                <c:pt idx="33">
                  <c:v>215</c:v>
                </c:pt>
                <c:pt idx="34">
                  <c:v>261</c:v>
                </c:pt>
                <c:pt idx="35">
                  <c:v>187</c:v>
                </c:pt>
                <c:pt idx="36">
                  <c:v>18</c:v>
                </c:pt>
                <c:pt idx="37">
                  <c:v>73</c:v>
                </c:pt>
                <c:pt idx="38">
                  <c:v>142</c:v>
                </c:pt>
                <c:pt idx="39">
                  <c:v>204</c:v>
                </c:pt>
                <c:pt idx="40">
                  <c:v>193</c:v>
                </c:pt>
                <c:pt idx="41">
                  <c:v>167</c:v>
                </c:pt>
                <c:pt idx="42">
                  <c:v>12</c:v>
                </c:pt>
                <c:pt idx="43">
                  <c:v>86</c:v>
                </c:pt>
                <c:pt idx="44">
                  <c:v>147</c:v>
                </c:pt>
                <c:pt idx="45">
                  <c:v>197</c:v>
                </c:pt>
                <c:pt idx="46">
                  <c:v>210</c:v>
                </c:pt>
                <c:pt idx="47">
                  <c:v>163</c:v>
                </c:pt>
                <c:pt idx="48">
                  <c:v>20</c:v>
                </c:pt>
                <c:pt idx="49">
                  <c:v>69</c:v>
                </c:pt>
                <c:pt idx="50">
                  <c:v>152</c:v>
                </c:pt>
                <c:pt idx="51">
                  <c:v>170</c:v>
                </c:pt>
                <c:pt idx="52">
                  <c:v>209</c:v>
                </c:pt>
                <c:pt idx="53">
                  <c:v>150</c:v>
                </c:pt>
                <c:pt idx="54">
                  <c:v>23</c:v>
                </c:pt>
                <c:pt idx="55">
                  <c:v>74</c:v>
                </c:pt>
                <c:pt idx="56">
                  <c:v>165</c:v>
                </c:pt>
                <c:pt idx="57">
                  <c:v>180</c:v>
                </c:pt>
                <c:pt idx="58">
                  <c:v>193</c:v>
                </c:pt>
                <c:pt idx="59">
                  <c:v>132</c:v>
                </c:pt>
                <c:pt idx="60">
                  <c:v>27</c:v>
                </c:pt>
                <c:pt idx="61">
                  <c:v>75</c:v>
                </c:pt>
                <c:pt idx="62">
                  <c:v>128</c:v>
                </c:pt>
                <c:pt idx="63">
                  <c:v>190</c:v>
                </c:pt>
                <c:pt idx="64">
                  <c:v>165</c:v>
                </c:pt>
                <c:pt idx="65">
                  <c:v>124</c:v>
                </c:pt>
                <c:pt idx="66">
                  <c:v>11</c:v>
                </c:pt>
                <c:pt idx="67">
                  <c:v>65</c:v>
                </c:pt>
                <c:pt idx="68">
                  <c:v>138</c:v>
                </c:pt>
                <c:pt idx="69">
                  <c:v>180</c:v>
                </c:pt>
                <c:pt idx="70">
                  <c:v>145</c:v>
                </c:pt>
                <c:pt idx="71">
                  <c:v>115</c:v>
                </c:pt>
                <c:pt idx="72">
                  <c:v>21</c:v>
                </c:pt>
                <c:pt idx="73">
                  <c:v>76</c:v>
                </c:pt>
                <c:pt idx="74">
                  <c:v>124</c:v>
                </c:pt>
                <c:pt idx="75">
                  <c:v>147</c:v>
                </c:pt>
                <c:pt idx="76">
                  <c:v>166</c:v>
                </c:pt>
                <c:pt idx="77">
                  <c:v>104</c:v>
                </c:pt>
                <c:pt idx="78">
                  <c:v>15</c:v>
                </c:pt>
                <c:pt idx="79">
                  <c:v>65</c:v>
                </c:pt>
                <c:pt idx="80">
                  <c:v>109</c:v>
                </c:pt>
                <c:pt idx="81">
                  <c:v>155</c:v>
                </c:pt>
                <c:pt idx="82">
                  <c:v>167</c:v>
                </c:pt>
                <c:pt idx="83">
                  <c:v>112</c:v>
                </c:pt>
                <c:pt idx="84">
                  <c:v>27</c:v>
                </c:pt>
                <c:pt idx="85">
                  <c:v>61</c:v>
                </c:pt>
                <c:pt idx="86">
                  <c:v>126</c:v>
                </c:pt>
                <c:pt idx="87">
                  <c:v>160</c:v>
                </c:pt>
                <c:pt idx="88">
                  <c:v>145</c:v>
                </c:pt>
                <c:pt idx="89">
                  <c:v>90</c:v>
                </c:pt>
                <c:pt idx="90">
                  <c:v>21</c:v>
                </c:pt>
                <c:pt idx="91">
                  <c:v>71</c:v>
                </c:pt>
                <c:pt idx="92">
                  <c:v>115</c:v>
                </c:pt>
                <c:pt idx="93">
                  <c:v>122</c:v>
                </c:pt>
                <c:pt idx="94">
                  <c:v>130</c:v>
                </c:pt>
                <c:pt idx="95">
                  <c:v>92</c:v>
                </c:pt>
                <c:pt idx="96">
                  <c:v>13</c:v>
                </c:pt>
                <c:pt idx="97">
                  <c:v>61</c:v>
                </c:pt>
                <c:pt idx="98">
                  <c:v>104</c:v>
                </c:pt>
                <c:pt idx="99">
                  <c:v>143</c:v>
                </c:pt>
                <c:pt idx="100">
                  <c:v>134</c:v>
                </c:pt>
                <c:pt idx="101">
                  <c:v>67</c:v>
                </c:pt>
                <c:pt idx="102">
                  <c:v>13</c:v>
                </c:pt>
                <c:pt idx="103">
                  <c:v>66</c:v>
                </c:pt>
                <c:pt idx="104">
                  <c:v>104</c:v>
                </c:pt>
                <c:pt idx="105">
                  <c:v>135</c:v>
                </c:pt>
                <c:pt idx="106">
                  <c:v>103</c:v>
                </c:pt>
                <c:pt idx="107">
                  <c:v>84</c:v>
                </c:pt>
                <c:pt idx="108">
                  <c:v>21</c:v>
                </c:pt>
                <c:pt idx="109">
                  <c:v>59</c:v>
                </c:pt>
                <c:pt idx="110">
                  <c:v>111</c:v>
                </c:pt>
                <c:pt idx="111">
                  <c:v>114</c:v>
                </c:pt>
                <c:pt idx="112">
                  <c:v>100</c:v>
                </c:pt>
                <c:pt idx="113">
                  <c:v>71</c:v>
                </c:pt>
                <c:pt idx="114">
                  <c:v>25</c:v>
                </c:pt>
                <c:pt idx="115">
                  <c:v>50</c:v>
                </c:pt>
                <c:pt idx="116">
                  <c:v>110</c:v>
                </c:pt>
                <c:pt idx="117">
                  <c:v>132</c:v>
                </c:pt>
                <c:pt idx="118">
                  <c:v>79</c:v>
                </c:pt>
                <c:pt idx="119">
                  <c:v>54</c:v>
                </c:pt>
                <c:pt idx="120">
                  <c:v>22</c:v>
                </c:pt>
                <c:pt idx="121">
                  <c:v>64</c:v>
                </c:pt>
                <c:pt idx="122">
                  <c:v>104</c:v>
                </c:pt>
                <c:pt idx="123">
                  <c:v>109</c:v>
                </c:pt>
                <c:pt idx="124">
                  <c:v>82</c:v>
                </c:pt>
                <c:pt idx="125">
                  <c:v>64</c:v>
                </c:pt>
                <c:pt idx="126">
                  <c:v>13</c:v>
                </c:pt>
                <c:pt idx="127">
                  <c:v>67</c:v>
                </c:pt>
                <c:pt idx="128">
                  <c:v>105</c:v>
                </c:pt>
                <c:pt idx="129">
                  <c:v>115</c:v>
                </c:pt>
                <c:pt idx="130">
                  <c:v>85</c:v>
                </c:pt>
                <c:pt idx="131">
                  <c:v>46</c:v>
                </c:pt>
                <c:pt idx="132">
                  <c:v>15</c:v>
                </c:pt>
                <c:pt idx="133">
                  <c:v>51</c:v>
                </c:pt>
                <c:pt idx="134">
                  <c:v>84</c:v>
                </c:pt>
                <c:pt idx="135">
                  <c:v>100</c:v>
                </c:pt>
                <c:pt idx="136">
                  <c:v>84</c:v>
                </c:pt>
                <c:pt idx="137">
                  <c:v>48</c:v>
                </c:pt>
                <c:pt idx="138">
                  <c:v>11</c:v>
                </c:pt>
                <c:pt idx="139">
                  <c:v>62</c:v>
                </c:pt>
                <c:pt idx="140">
                  <c:v>107</c:v>
                </c:pt>
                <c:pt idx="141">
                  <c:v>96</c:v>
                </c:pt>
                <c:pt idx="142">
                  <c:v>67</c:v>
                </c:pt>
                <c:pt idx="143">
                  <c:v>32</c:v>
                </c:pt>
                <c:pt idx="144">
                  <c:v>17</c:v>
                </c:pt>
                <c:pt idx="145">
                  <c:v>52</c:v>
                </c:pt>
                <c:pt idx="146">
                  <c:v>90</c:v>
                </c:pt>
                <c:pt idx="147">
                  <c:v>77</c:v>
                </c:pt>
                <c:pt idx="148">
                  <c:v>69</c:v>
                </c:pt>
                <c:pt idx="149">
                  <c:v>43</c:v>
                </c:pt>
                <c:pt idx="150">
                  <c:v>25</c:v>
                </c:pt>
                <c:pt idx="151">
                  <c:v>72</c:v>
                </c:pt>
                <c:pt idx="152">
                  <c:v>85</c:v>
                </c:pt>
                <c:pt idx="153">
                  <c:v>89</c:v>
                </c:pt>
                <c:pt idx="154">
                  <c:v>56</c:v>
                </c:pt>
                <c:pt idx="155">
                  <c:v>41</c:v>
                </c:pt>
                <c:pt idx="156">
                  <c:v>26</c:v>
                </c:pt>
                <c:pt idx="157">
                  <c:v>46</c:v>
                </c:pt>
                <c:pt idx="158">
                  <c:v>89</c:v>
                </c:pt>
                <c:pt idx="159">
                  <c:v>84</c:v>
                </c:pt>
                <c:pt idx="160">
                  <c:v>43</c:v>
                </c:pt>
                <c:pt idx="161">
                  <c:v>21</c:v>
                </c:pt>
                <c:pt idx="162">
                  <c:v>19</c:v>
                </c:pt>
                <c:pt idx="163">
                  <c:v>58</c:v>
                </c:pt>
                <c:pt idx="164">
                  <c:v>98</c:v>
                </c:pt>
                <c:pt idx="165">
                  <c:v>80</c:v>
                </c:pt>
                <c:pt idx="166">
                  <c:v>55</c:v>
                </c:pt>
                <c:pt idx="167">
                  <c:v>31</c:v>
                </c:pt>
                <c:pt idx="168">
                  <c:v>22</c:v>
                </c:pt>
                <c:pt idx="169">
                  <c:v>50</c:v>
                </c:pt>
                <c:pt idx="170">
                  <c:v>69</c:v>
                </c:pt>
                <c:pt idx="171">
                  <c:v>67</c:v>
                </c:pt>
                <c:pt idx="172">
                  <c:v>50</c:v>
                </c:pt>
                <c:pt idx="173">
                  <c:v>37</c:v>
                </c:pt>
                <c:pt idx="174">
                  <c:v>23</c:v>
                </c:pt>
                <c:pt idx="175">
                  <c:v>49</c:v>
                </c:pt>
                <c:pt idx="176">
                  <c:v>82</c:v>
                </c:pt>
                <c:pt idx="177">
                  <c:v>61</c:v>
                </c:pt>
                <c:pt idx="178">
                  <c:v>34</c:v>
                </c:pt>
                <c:pt idx="179">
                  <c:v>17</c:v>
                </c:pt>
                <c:pt idx="180">
                  <c:v>23</c:v>
                </c:pt>
                <c:pt idx="181">
                  <c:v>48</c:v>
                </c:pt>
                <c:pt idx="182">
                  <c:v>70</c:v>
                </c:pt>
                <c:pt idx="183">
                  <c:v>54</c:v>
                </c:pt>
                <c:pt idx="184">
                  <c:v>49</c:v>
                </c:pt>
                <c:pt idx="185">
                  <c:v>20</c:v>
                </c:pt>
                <c:pt idx="186">
                  <c:v>9</c:v>
                </c:pt>
                <c:pt idx="187">
                  <c:v>38</c:v>
                </c:pt>
                <c:pt idx="188">
                  <c:v>73</c:v>
                </c:pt>
                <c:pt idx="189">
                  <c:v>63</c:v>
                </c:pt>
                <c:pt idx="190">
                  <c:v>36</c:v>
                </c:pt>
                <c:pt idx="191">
                  <c:v>18</c:v>
                </c:pt>
                <c:pt idx="192">
                  <c:v>18</c:v>
                </c:pt>
                <c:pt idx="193">
                  <c:v>49</c:v>
                </c:pt>
                <c:pt idx="194">
                  <c:v>57</c:v>
                </c:pt>
                <c:pt idx="195">
                  <c:v>52</c:v>
                </c:pt>
                <c:pt idx="196">
                  <c:v>36</c:v>
                </c:pt>
                <c:pt idx="197">
                  <c:v>16</c:v>
                </c:pt>
                <c:pt idx="198">
                  <c:v>21</c:v>
                </c:pt>
                <c:pt idx="199">
                  <c:v>54</c:v>
                </c:pt>
                <c:pt idx="200">
                  <c:v>57</c:v>
                </c:pt>
                <c:pt idx="201">
                  <c:v>58</c:v>
                </c:pt>
                <c:pt idx="202">
                  <c:v>27</c:v>
                </c:pt>
                <c:pt idx="203">
                  <c:v>14</c:v>
                </c:pt>
                <c:pt idx="204">
                  <c:v>21</c:v>
                </c:pt>
                <c:pt idx="205">
                  <c:v>48</c:v>
                </c:pt>
                <c:pt idx="206">
                  <c:v>58</c:v>
                </c:pt>
                <c:pt idx="207">
                  <c:v>49</c:v>
                </c:pt>
                <c:pt idx="208">
                  <c:v>28</c:v>
                </c:pt>
                <c:pt idx="209">
                  <c:v>16</c:v>
                </c:pt>
                <c:pt idx="210">
                  <c:v>22</c:v>
                </c:pt>
                <c:pt idx="211">
                  <c:v>46</c:v>
                </c:pt>
                <c:pt idx="212">
                  <c:v>51</c:v>
                </c:pt>
                <c:pt idx="213">
                  <c:v>59</c:v>
                </c:pt>
                <c:pt idx="214">
                  <c:v>25</c:v>
                </c:pt>
                <c:pt idx="215">
                  <c:v>7</c:v>
                </c:pt>
                <c:pt idx="216">
                  <c:v>19</c:v>
                </c:pt>
                <c:pt idx="217">
                  <c:v>54</c:v>
                </c:pt>
                <c:pt idx="218">
                  <c:v>59</c:v>
                </c:pt>
                <c:pt idx="219">
                  <c:v>26</c:v>
                </c:pt>
                <c:pt idx="220">
                  <c:v>35</c:v>
                </c:pt>
                <c:pt idx="221">
                  <c:v>10</c:v>
                </c:pt>
                <c:pt idx="222">
                  <c:v>19</c:v>
                </c:pt>
                <c:pt idx="223">
                  <c:v>47</c:v>
                </c:pt>
                <c:pt idx="224">
                  <c:v>41</c:v>
                </c:pt>
                <c:pt idx="225">
                  <c:v>57</c:v>
                </c:pt>
                <c:pt idx="226">
                  <c:v>23</c:v>
                </c:pt>
                <c:pt idx="227">
                  <c:v>13</c:v>
                </c:pt>
                <c:pt idx="228">
                  <c:v>21</c:v>
                </c:pt>
                <c:pt idx="229">
                  <c:v>40</c:v>
                </c:pt>
                <c:pt idx="230">
                  <c:v>50</c:v>
                </c:pt>
                <c:pt idx="231">
                  <c:v>22</c:v>
                </c:pt>
                <c:pt idx="232">
                  <c:v>22</c:v>
                </c:pt>
                <c:pt idx="233">
                  <c:v>9</c:v>
                </c:pt>
                <c:pt idx="234">
                  <c:v>16</c:v>
                </c:pt>
                <c:pt idx="235">
                  <c:v>35</c:v>
                </c:pt>
                <c:pt idx="236">
                  <c:v>37</c:v>
                </c:pt>
                <c:pt idx="237">
                  <c:v>33</c:v>
                </c:pt>
                <c:pt idx="238">
                  <c:v>14</c:v>
                </c:pt>
                <c:pt idx="239">
                  <c:v>5</c:v>
                </c:pt>
                <c:pt idx="240">
                  <c:v>25</c:v>
                </c:pt>
                <c:pt idx="241">
                  <c:v>44</c:v>
                </c:pt>
                <c:pt idx="242">
                  <c:v>47</c:v>
                </c:pt>
                <c:pt idx="243">
                  <c:v>42</c:v>
                </c:pt>
                <c:pt idx="244">
                  <c:v>15</c:v>
                </c:pt>
                <c:pt idx="245">
                  <c:v>5</c:v>
                </c:pt>
                <c:pt idx="246">
                  <c:v>22</c:v>
                </c:pt>
                <c:pt idx="247">
                  <c:v>29</c:v>
                </c:pt>
                <c:pt idx="248">
                  <c:v>38</c:v>
                </c:pt>
                <c:pt idx="249">
                  <c:v>21</c:v>
                </c:pt>
                <c:pt idx="250">
                  <c:v>18</c:v>
                </c:pt>
                <c:pt idx="251">
                  <c:v>5</c:v>
                </c:pt>
                <c:pt idx="252">
                  <c:v>14</c:v>
                </c:pt>
                <c:pt idx="253">
                  <c:v>46</c:v>
                </c:pt>
                <c:pt idx="254">
                  <c:v>28</c:v>
                </c:pt>
                <c:pt idx="255">
                  <c:v>27</c:v>
                </c:pt>
                <c:pt idx="256">
                  <c:v>11</c:v>
                </c:pt>
                <c:pt idx="257">
                  <c:v>12</c:v>
                </c:pt>
                <c:pt idx="258">
                  <c:v>19</c:v>
                </c:pt>
                <c:pt idx="259">
                  <c:v>41</c:v>
                </c:pt>
                <c:pt idx="260">
                  <c:v>32</c:v>
                </c:pt>
                <c:pt idx="261">
                  <c:v>23</c:v>
                </c:pt>
                <c:pt idx="262">
                  <c:v>16</c:v>
                </c:pt>
                <c:pt idx="263">
                  <c:v>5</c:v>
                </c:pt>
                <c:pt idx="264">
                  <c:v>24</c:v>
                </c:pt>
                <c:pt idx="265">
                  <c:v>26</c:v>
                </c:pt>
                <c:pt idx="266">
                  <c:v>32</c:v>
                </c:pt>
                <c:pt idx="267">
                  <c:v>16</c:v>
                </c:pt>
                <c:pt idx="268">
                  <c:v>9</c:v>
                </c:pt>
                <c:pt idx="269">
                  <c:v>3</c:v>
                </c:pt>
                <c:pt idx="270">
                  <c:v>23</c:v>
                </c:pt>
                <c:pt idx="271">
                  <c:v>40</c:v>
                </c:pt>
                <c:pt idx="272">
                  <c:v>27</c:v>
                </c:pt>
                <c:pt idx="273">
                  <c:v>22</c:v>
                </c:pt>
                <c:pt idx="274">
                  <c:v>9</c:v>
                </c:pt>
                <c:pt idx="275">
                  <c:v>1</c:v>
                </c:pt>
                <c:pt idx="276">
                  <c:v>21</c:v>
                </c:pt>
                <c:pt idx="277">
                  <c:v>33</c:v>
                </c:pt>
                <c:pt idx="278">
                  <c:v>25</c:v>
                </c:pt>
                <c:pt idx="279">
                  <c:v>15</c:v>
                </c:pt>
                <c:pt idx="280">
                  <c:v>4</c:v>
                </c:pt>
                <c:pt idx="281">
                  <c:v>1</c:v>
                </c:pt>
                <c:pt idx="282">
                  <c:v>12</c:v>
                </c:pt>
                <c:pt idx="283">
                  <c:v>36</c:v>
                </c:pt>
                <c:pt idx="284">
                  <c:v>26</c:v>
                </c:pt>
                <c:pt idx="285">
                  <c:v>17</c:v>
                </c:pt>
                <c:pt idx="286">
                  <c:v>5</c:v>
                </c:pt>
                <c:pt idx="287">
                  <c:v>4</c:v>
                </c:pt>
                <c:pt idx="288">
                  <c:v>14</c:v>
                </c:pt>
                <c:pt idx="289">
                  <c:v>33</c:v>
                </c:pt>
                <c:pt idx="290">
                  <c:v>24</c:v>
                </c:pt>
                <c:pt idx="291">
                  <c:v>9</c:v>
                </c:pt>
                <c:pt idx="292">
                  <c:v>2</c:v>
                </c:pt>
                <c:pt idx="293">
                  <c:v>14</c:v>
                </c:pt>
                <c:pt idx="294">
                  <c:v>29</c:v>
                </c:pt>
                <c:pt idx="295">
                  <c:v>24</c:v>
                </c:pt>
                <c:pt idx="296">
                  <c:v>12</c:v>
                </c:pt>
                <c:pt idx="297">
                  <c:v>4</c:v>
                </c:pt>
                <c:pt idx="298">
                  <c:v>1</c:v>
                </c:pt>
                <c:pt idx="299">
                  <c:v>17</c:v>
                </c:pt>
                <c:pt idx="300">
                  <c:v>18</c:v>
                </c:pt>
                <c:pt idx="301">
                  <c:v>23</c:v>
                </c:pt>
                <c:pt idx="302">
                  <c:v>9</c:v>
                </c:pt>
                <c:pt idx="303">
                  <c:v>7</c:v>
                </c:pt>
                <c:pt idx="304">
                  <c:v>1</c:v>
                </c:pt>
                <c:pt idx="305">
                  <c:v>22</c:v>
                </c:pt>
                <c:pt idx="306">
                  <c:v>32</c:v>
                </c:pt>
                <c:pt idx="307">
                  <c:v>18</c:v>
                </c:pt>
                <c:pt idx="308">
                  <c:v>5</c:v>
                </c:pt>
                <c:pt idx="309">
                  <c:v>1</c:v>
                </c:pt>
                <c:pt idx="310">
                  <c:v>19</c:v>
                </c:pt>
                <c:pt idx="311">
                  <c:v>21</c:v>
                </c:pt>
                <c:pt idx="312">
                  <c:v>21</c:v>
                </c:pt>
                <c:pt idx="313">
                  <c:v>5</c:v>
                </c:pt>
                <c:pt idx="314">
                  <c:v>5</c:v>
                </c:pt>
                <c:pt idx="315">
                  <c:v>1</c:v>
                </c:pt>
                <c:pt idx="316">
                  <c:v>22</c:v>
                </c:pt>
                <c:pt idx="317">
                  <c:v>24</c:v>
                </c:pt>
                <c:pt idx="318">
                  <c:v>17</c:v>
                </c:pt>
                <c:pt idx="319">
                  <c:v>4</c:v>
                </c:pt>
                <c:pt idx="320">
                  <c:v>4</c:v>
                </c:pt>
                <c:pt idx="321">
                  <c:v>4</c:v>
                </c:pt>
                <c:pt idx="322">
                  <c:v>22</c:v>
                </c:pt>
                <c:pt idx="323">
                  <c:v>23</c:v>
                </c:pt>
                <c:pt idx="324">
                  <c:v>24</c:v>
                </c:pt>
                <c:pt idx="325">
                  <c:v>11</c:v>
                </c:pt>
                <c:pt idx="326">
                  <c:v>2</c:v>
                </c:pt>
                <c:pt idx="327">
                  <c:v>1</c:v>
                </c:pt>
                <c:pt idx="328">
                  <c:v>18</c:v>
                </c:pt>
                <c:pt idx="329">
                  <c:v>30</c:v>
                </c:pt>
                <c:pt idx="330">
                  <c:v>21</c:v>
                </c:pt>
                <c:pt idx="331">
                  <c:v>4</c:v>
                </c:pt>
                <c:pt idx="332">
                  <c:v>4</c:v>
                </c:pt>
                <c:pt idx="333">
                  <c:v>14</c:v>
                </c:pt>
                <c:pt idx="334">
                  <c:v>19</c:v>
                </c:pt>
                <c:pt idx="335">
                  <c:v>18</c:v>
                </c:pt>
                <c:pt idx="336">
                  <c:v>6</c:v>
                </c:pt>
                <c:pt idx="337">
                  <c:v>5</c:v>
                </c:pt>
                <c:pt idx="338">
                  <c:v>158</c:v>
                </c:pt>
                <c:pt idx="339">
                  <c:v>144</c:v>
                </c:pt>
                <c:pt idx="340">
                  <c:v>68</c:v>
                </c:pt>
                <c:pt idx="341">
                  <c:v>18</c:v>
                </c:pt>
                <c:pt idx="342">
                  <c:v>4</c:v>
                </c:pt>
                <c:pt idx="343">
                  <c:v>2</c:v>
                </c:pt>
                <c:pt idx="344">
                  <c:v>29</c:v>
                </c:pt>
                <c:pt idx="345">
                  <c:v>8</c:v>
                </c:pt>
                <c:pt idx="346">
                  <c:v>2</c:v>
                </c:pt>
                <c:pt idx="347">
                  <c:v>1</c:v>
                </c:pt>
                <c:pt idx="348">
                  <c:v>20</c:v>
                </c:pt>
                <c:pt idx="349">
                  <c:v>6</c:v>
                </c:pt>
                <c:pt idx="350">
                  <c:v>4</c:v>
                </c:pt>
                <c:pt idx="351">
                  <c:v>1</c:v>
                </c:pt>
                <c:pt idx="352">
                  <c:v>17</c:v>
                </c:pt>
                <c:pt idx="353">
                  <c:v>7</c:v>
                </c:pt>
                <c:pt idx="354">
                  <c:v>5</c:v>
                </c:pt>
                <c:pt idx="355">
                  <c:v>2</c:v>
                </c:pt>
                <c:pt idx="356">
                  <c:v>148</c:v>
                </c:pt>
                <c:pt idx="357">
                  <c:v>59</c:v>
                </c:pt>
                <c:pt idx="358">
                  <c:v>11</c:v>
                </c:pt>
                <c:pt idx="359">
                  <c:v>1</c:v>
                </c:pt>
                <c:pt idx="360">
                  <c:v>1</c:v>
                </c:pt>
                <c:pt idx="361">
                  <c:v>19</c:v>
                </c:pt>
                <c:pt idx="362">
                  <c:v>1</c:v>
                </c:pt>
                <c:pt idx="363">
                  <c:v>26</c:v>
                </c:pt>
              </c:numCache>
            </c:numRef>
          </c:bubbleSize>
          <c:bubble3D val="0"/>
          <c:extLst>
            <c:ext xmlns:c16="http://schemas.microsoft.com/office/drawing/2014/chart" uri="{C3380CC4-5D6E-409C-BE32-E72D297353CC}">
              <c16:uniqueId val="{00000004-0280-40FA-87BC-47541E5A69DD}"/>
            </c:ext>
          </c:extLst>
        </c:ser>
        <c:dLbls>
          <c:showLegendKey val="0"/>
          <c:showVal val="0"/>
          <c:showCatName val="0"/>
          <c:showSerName val="0"/>
          <c:showPercent val="0"/>
          <c:showBubbleSize val="0"/>
        </c:dLbls>
        <c:bubbleScale val="18"/>
        <c:showNegBubbles val="0"/>
        <c:axId val="1099994783"/>
        <c:axId val="1095515375"/>
      </c:bubbleChart>
      <c:valAx>
        <c:axId val="1099994783"/>
        <c:scaling>
          <c:orientation val="minMax"/>
          <c:min val="0"/>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chemeClr val="tx1">
                        <a:lumMod val="65000"/>
                        <a:lumOff val="35000"/>
                      </a:schemeClr>
                    </a:solidFill>
                    <a:latin typeface="+mn-lt"/>
                    <a:ea typeface="+mn-ea"/>
                    <a:cs typeface="+mn-cs"/>
                  </a:defRPr>
                </a:pPr>
                <a:r>
                  <a:rPr lang="en-CA" sz="1100" b="0" i="0" u="none" strike="noStrike" kern="1200" baseline="0">
                    <a:solidFill>
                      <a:schemeClr val="tx1">
                        <a:lumMod val="65000"/>
                        <a:lumOff val="35000"/>
                      </a:schemeClr>
                    </a:solidFill>
                  </a:rPr>
                  <a:t>Days Between Last Historical Order and Cutoff Date</a:t>
                </a:r>
              </a:p>
            </c:rich>
          </c:tx>
          <c:layout>
            <c:manualLayout>
              <c:xMode val="edge"/>
              <c:yMode val="edge"/>
              <c:x val="0.29183489425926878"/>
              <c:y val="0.9394655761350463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chemeClr val="tx1">
                      <a:lumMod val="65000"/>
                      <a:lumOff val="35000"/>
                    </a:schemeClr>
                  </a:solidFill>
                  <a:latin typeface="+mn-lt"/>
                  <a:ea typeface="+mn-ea"/>
                  <a:cs typeface="+mn-cs"/>
                </a:defRPr>
              </a:pPr>
              <a:endParaRPr lang="en-US"/>
            </a:p>
          </c:txPr>
        </c:title>
        <c:numFmt formatCode="[&gt;=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95515375"/>
        <c:crosses val="autoZero"/>
        <c:crossBetween val="midCat"/>
      </c:valAx>
      <c:valAx>
        <c:axId val="1095515375"/>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chemeClr val="tx1">
                        <a:lumMod val="65000"/>
                        <a:lumOff val="35000"/>
                      </a:schemeClr>
                    </a:solidFill>
                    <a:latin typeface="+mn-lt"/>
                    <a:ea typeface="+mn-ea"/>
                    <a:cs typeface="+mn-cs"/>
                  </a:defRPr>
                </a:pPr>
                <a:r>
                  <a:rPr lang="en-CA" sz="1100" b="0" i="0" u="none" strike="noStrike" kern="1200" baseline="0">
                    <a:solidFill>
                      <a:schemeClr val="tx1">
                        <a:lumMod val="65000"/>
                        <a:lumOff val="35000"/>
                      </a:schemeClr>
                    </a:solidFill>
                  </a:rPr>
                  <a:t>No. of Historical Orders</a:t>
                </a:r>
              </a:p>
            </c:rich>
          </c:tx>
          <c:layout>
            <c:manualLayout>
              <c:xMode val="edge"/>
              <c:yMode val="edge"/>
              <c:x val="6.5253206611581823E-3"/>
              <c:y val="0.29740032129383215"/>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99994783"/>
        <c:crosses val="autoZero"/>
        <c:crossBetween val="midCat"/>
        <c:majorUnit val="1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tx1">
          <a:alpha val="60000"/>
        </a:schemeClr>
      </a:outerShdw>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solidFill>
                  <a:schemeClr val="tx1">
                    <a:lumMod val="65000"/>
                    <a:lumOff val="35000"/>
                  </a:schemeClr>
                </a:solidFill>
              </a:rPr>
              <a:t>Returning Customer Rate by Segment</a:t>
            </a:r>
            <a:endParaRPr lang="en-CA">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clustered"/>
        <c:varyColors val="1"/>
        <c:ser>
          <c:idx val="0"/>
          <c:order val="0"/>
          <c:tx>
            <c:strRef>
              <c:f>'Home Dashboard Segments'!$H$1</c:f>
              <c:strCache>
                <c:ptCount val="1"/>
                <c:pt idx="0">
                  <c:v>future_repeat_purchase_rate</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131-4626-BC92-314560C5F32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131-4626-BC92-314560C5F32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131-4626-BC92-314560C5F32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131-4626-BC92-314560C5F32A}"/>
              </c:ext>
            </c:extLst>
          </c:dPt>
          <c:dLbls>
            <c:dLbl>
              <c:idx val="0"/>
              <c:tx>
                <c:rich>
                  <a:bodyPr/>
                  <a:lstStyle/>
                  <a:p>
                    <a:fld id="{5268596E-4C69-4377-B966-CC4321C86B6E}" type="VALUE">
                      <a:rPr lang="en-US" b="0"/>
                      <a:pPr/>
                      <a:t>[VALUE]</a:t>
                    </a:fld>
                    <a:endParaRPr lang="en-CA"/>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131-4626-BC92-314560C5F32A}"/>
                </c:ext>
              </c:extLst>
            </c:dLbl>
            <c:numFmt formatCode="0.0&quot;%&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'Home Dashboard Segments'!$A$2:$A$5</c:f>
              <c:strCache>
                <c:ptCount val="4"/>
                <c:pt idx="0">
                  <c:v>Loyal &amp; Active</c:v>
                </c:pt>
                <c:pt idx="1">
                  <c:v>Loyal but Cooling</c:v>
                </c:pt>
                <c:pt idx="2">
                  <c:v>Developing</c:v>
                </c:pt>
                <c:pt idx="3">
                  <c:v>Low Engagement / Lapsed</c:v>
                </c:pt>
              </c:strCache>
            </c:strRef>
          </c:cat>
          <c:val>
            <c:numRef>
              <c:f>'Home Dashboard Segments'!$H$2:$H$5</c:f>
              <c:numCache>
                <c:formatCode>General</c:formatCode>
                <c:ptCount val="4"/>
                <c:pt idx="0">
                  <c:v>35.229999999999997</c:v>
                </c:pt>
                <c:pt idx="1">
                  <c:v>32.130000000000003</c:v>
                </c:pt>
                <c:pt idx="2">
                  <c:v>31.04</c:v>
                </c:pt>
                <c:pt idx="3">
                  <c:v>30.4</c:v>
                </c:pt>
              </c:numCache>
            </c:numRef>
          </c:val>
          <c:extLst>
            <c:ext xmlns:c16="http://schemas.microsoft.com/office/drawing/2014/chart" uri="{C3380CC4-5D6E-409C-BE32-E72D297353CC}">
              <c16:uniqueId val="{00000000-7805-4A5B-B9DB-09C022F56074}"/>
            </c:ext>
          </c:extLst>
        </c:ser>
        <c:dLbls>
          <c:dLblPos val="outEnd"/>
          <c:showLegendKey val="0"/>
          <c:showVal val="1"/>
          <c:showCatName val="0"/>
          <c:showSerName val="0"/>
          <c:showPercent val="0"/>
          <c:showBubbleSize val="0"/>
        </c:dLbls>
        <c:gapWidth val="219"/>
        <c:overlap val="-27"/>
        <c:axId val="98863791"/>
        <c:axId val="2102627728"/>
      </c:barChart>
      <c:catAx>
        <c:axId val="98863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2102627728"/>
        <c:crosses val="autoZero"/>
        <c:auto val="1"/>
        <c:lblAlgn val="ctr"/>
        <c:lblOffset val="100"/>
        <c:noMultiLvlLbl val="0"/>
      </c:catAx>
      <c:valAx>
        <c:axId val="21026277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8863791"/>
        <c:crosses val="autoZero"/>
        <c:crossBetween val="between"/>
        <c:majorUnit val="3"/>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6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solidFill>
                  <a:schemeClr val="tx1">
                    <a:lumMod val="65000"/>
                    <a:lumOff val="35000"/>
                  </a:schemeClr>
                </a:solidFill>
              </a:rPr>
              <a:t>Returning Customer Rate by Order Frequency</a:t>
            </a:r>
            <a:endParaRPr lang="en-CA">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clustered"/>
        <c:varyColors val="0"/>
        <c:ser>
          <c:idx val="0"/>
          <c:order val="0"/>
          <c:spPr>
            <a:gradFill>
              <a:gsLst>
                <a:gs pos="0">
                  <a:schemeClr val="accent6"/>
                </a:gs>
                <a:gs pos="100000">
                  <a:schemeClr val="accent6">
                    <a:lumMod val="60000"/>
                    <a:lumOff val="40000"/>
                  </a:schemeClr>
                </a:gs>
              </a:gsLst>
              <a:lin ang="16200000" scaled="0"/>
            </a:gradFill>
            <a:ln>
              <a:noFill/>
            </a:ln>
            <a:effectLst/>
          </c:spPr>
          <c:invertIfNegative val="0"/>
          <c:dLbls>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'Purchasing - Frequency'!$A$2:$A$6</c:f>
              <c:strCache>
                <c:ptCount val="5"/>
                <c:pt idx="0">
                  <c:v>1-2</c:v>
                </c:pt>
                <c:pt idx="1">
                  <c:v>3-4</c:v>
                </c:pt>
                <c:pt idx="2">
                  <c:v>5-6</c:v>
                </c:pt>
                <c:pt idx="3">
                  <c:v>7-8</c:v>
                </c:pt>
                <c:pt idx="4">
                  <c:v>9+</c:v>
                </c:pt>
              </c:strCache>
            </c:strRef>
          </c:cat>
          <c:val>
            <c:numRef>
              <c:f>'Purchasing - Frequency'!$D$2:$D$6</c:f>
              <c:numCache>
                <c:formatCode>General</c:formatCode>
                <c:ptCount val="5"/>
                <c:pt idx="0">
                  <c:v>30.77</c:v>
                </c:pt>
                <c:pt idx="1">
                  <c:v>30.21</c:v>
                </c:pt>
                <c:pt idx="2">
                  <c:v>31</c:v>
                </c:pt>
                <c:pt idx="3">
                  <c:v>32.119999999999997</c:v>
                </c:pt>
                <c:pt idx="4">
                  <c:v>37.590000000000003</c:v>
                </c:pt>
              </c:numCache>
            </c:numRef>
          </c:val>
          <c:extLst>
            <c:ext xmlns:c16="http://schemas.microsoft.com/office/drawing/2014/chart" uri="{C3380CC4-5D6E-409C-BE32-E72D297353CC}">
              <c16:uniqueId val="{00000000-E8F8-42B3-9662-B0091CFBEB27}"/>
            </c:ext>
          </c:extLst>
        </c:ser>
        <c:dLbls>
          <c:dLblPos val="outEnd"/>
          <c:showLegendKey val="0"/>
          <c:showVal val="1"/>
          <c:showCatName val="0"/>
          <c:showSerName val="0"/>
          <c:showPercent val="0"/>
          <c:showBubbleSize val="0"/>
        </c:dLbls>
        <c:gapWidth val="219"/>
        <c:overlap val="-27"/>
        <c:axId val="575339568"/>
        <c:axId val="985287792"/>
      </c:barChart>
      <c:catAx>
        <c:axId val="57533956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sz="1100" b="0" i="0" u="none" strike="noStrike" kern="1200" baseline="0">
                    <a:solidFill>
                      <a:schemeClr val="tx1">
                        <a:lumMod val="65000"/>
                        <a:lumOff val="35000"/>
                      </a:schemeClr>
                    </a:solidFill>
                  </a:rPr>
                  <a:t>Historical Orders</a:t>
                </a:r>
                <a:endParaRPr lang="en-CA" sz="1100">
                  <a:solidFill>
                    <a:schemeClr val="tx1">
                      <a:lumMod val="65000"/>
                      <a:lumOff val="35000"/>
                    </a:schemeClr>
                  </a:solidFill>
                </a:endParaRPr>
              </a:p>
            </c:rich>
          </c:tx>
          <c:layout>
            <c:manualLayout>
              <c:xMode val="edge"/>
              <c:yMode val="edge"/>
              <c:x val="0.38988455293944002"/>
              <c:y val="0.9461127764316061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85287792"/>
        <c:crosses val="autoZero"/>
        <c:auto val="1"/>
        <c:lblAlgn val="ctr"/>
        <c:lblOffset val="100"/>
        <c:noMultiLvlLbl val="0"/>
      </c:catAx>
      <c:valAx>
        <c:axId val="985287792"/>
        <c:scaling>
          <c:orientation val="minMax"/>
          <c:min val="25"/>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575339568"/>
        <c:crosses val="autoZero"/>
        <c:crossBetween val="between"/>
        <c:majorUnit val="5"/>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tx1">
          <a:alpha val="60000"/>
        </a:scheme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200" b="0" i="0" u="none" strike="noStrike" kern="1200" spc="0" baseline="0">
                <a:solidFill>
                  <a:schemeClr val="tx1">
                    <a:lumMod val="65000"/>
                    <a:lumOff val="35000"/>
                  </a:schemeClr>
                </a:solidFill>
                <a:latin typeface="+mn-lt"/>
                <a:ea typeface="+mn-ea"/>
                <a:cs typeface="+mn-cs"/>
              </a:defRPr>
            </a:pPr>
            <a:r>
              <a:rPr lang="en-CA" sz="1400">
                <a:solidFill>
                  <a:schemeClr val="tx1">
                    <a:lumMod val="65000"/>
                    <a:lumOff val="35000"/>
                  </a:schemeClr>
                </a:solidFill>
              </a:rPr>
              <a:t>Returning Customer Rate by Recency of Last Order </a:t>
            </a:r>
            <a:endParaRPr lang="en-US" sz="14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Future Repeat Purchase Rate</c:v>
          </c:tx>
          <c:spPr>
            <a:gradFill>
              <a:gsLst>
                <a:gs pos="0">
                  <a:schemeClr val="accent6"/>
                </a:gs>
                <a:gs pos="100000">
                  <a:schemeClr val="accent6">
                    <a:lumMod val="60000"/>
                    <a:lumOff val="40000"/>
                  </a:schemeClr>
                </a:gs>
              </a:gsLst>
              <a:lin ang="16200000" scaled="0"/>
            </a:gradFill>
            <a:ln>
              <a:noFill/>
            </a:ln>
            <a:effectLst/>
          </c:spPr>
          <c:invertIfNegative val="0"/>
          <c:dLbls>
            <c:numFmt formatCode="0.0&quot;%&quot;\ "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'Purchasing - Recency'!$A$2:$A$6</c:f>
              <c:strCache>
                <c:ptCount val="5"/>
                <c:pt idx="0">
                  <c:v>0-30</c:v>
                </c:pt>
                <c:pt idx="1">
                  <c:v>31-90</c:v>
                </c:pt>
                <c:pt idx="2">
                  <c:v>91-180</c:v>
                </c:pt>
                <c:pt idx="3">
                  <c:v>181-365</c:v>
                </c:pt>
                <c:pt idx="4">
                  <c:v>366+</c:v>
                </c:pt>
              </c:strCache>
            </c:strRef>
          </c:cat>
          <c:val>
            <c:numRef>
              <c:f>'Purchasing - Recency'!$D$2:$D$6</c:f>
              <c:numCache>
                <c:formatCode>General</c:formatCode>
                <c:ptCount val="5"/>
                <c:pt idx="0">
                  <c:v>32.770000000000003</c:v>
                </c:pt>
                <c:pt idx="1">
                  <c:v>32.380000000000003</c:v>
                </c:pt>
                <c:pt idx="2">
                  <c:v>30.94</c:v>
                </c:pt>
                <c:pt idx="3">
                  <c:v>31.05</c:v>
                </c:pt>
                <c:pt idx="4">
                  <c:v>29.46</c:v>
                </c:pt>
              </c:numCache>
            </c:numRef>
          </c:val>
          <c:extLst>
            <c:ext xmlns:c16="http://schemas.microsoft.com/office/drawing/2014/chart" uri="{C3380CC4-5D6E-409C-BE32-E72D297353CC}">
              <c16:uniqueId val="{00000000-2307-4F9C-8382-8E7EB4C0ABC4}"/>
            </c:ext>
          </c:extLst>
        </c:ser>
        <c:dLbls>
          <c:dLblPos val="outEnd"/>
          <c:showLegendKey val="0"/>
          <c:showVal val="1"/>
          <c:showCatName val="0"/>
          <c:showSerName val="0"/>
          <c:showPercent val="0"/>
          <c:showBubbleSize val="0"/>
        </c:dLbls>
        <c:gapWidth val="219"/>
        <c:overlap val="-27"/>
        <c:axId val="758119759"/>
        <c:axId val="985385712"/>
      </c:barChart>
      <c:catAx>
        <c:axId val="758119759"/>
        <c:scaling>
          <c:orientation val="minMax"/>
        </c:scaling>
        <c:delete val="0"/>
        <c:axPos val="b"/>
        <c:title>
          <c:tx>
            <c:rich>
              <a:bodyPr rot="0" spcFirstLastPara="1" vertOverflow="ellipsis" vert="horz" wrap="square" anchor="ctr" anchorCtr="1"/>
              <a:lstStyle/>
              <a:p>
                <a:pPr algn="ctr" rtl="0">
                  <a:defRPr lang="en-US" sz="1100" b="0" i="0" u="none" strike="noStrike" kern="1200" baseline="0">
                    <a:solidFill>
                      <a:schemeClr val="tx1">
                        <a:lumMod val="65000"/>
                        <a:lumOff val="35000"/>
                      </a:schemeClr>
                    </a:solidFill>
                    <a:latin typeface="+mn-lt"/>
                    <a:ea typeface="+mn-ea"/>
                    <a:cs typeface="+mn-cs"/>
                  </a:defRPr>
                </a:pPr>
                <a:r>
                  <a:rPr lang="en-CA" sz="1100">
                    <a:solidFill>
                      <a:schemeClr val="tx1">
                        <a:lumMod val="65000"/>
                        <a:lumOff val="35000"/>
                      </a:schemeClr>
                    </a:solidFill>
                  </a:rPr>
                  <a:t>Days Between Last Historical Order and Cutoff Date</a:t>
                </a:r>
              </a:p>
            </c:rich>
          </c:tx>
          <c:layout>
            <c:manualLayout>
              <c:xMode val="edge"/>
              <c:yMode val="edge"/>
              <c:x val="0.36804724885363949"/>
              <c:y val="0.92617886178861786"/>
            </c:manualLayout>
          </c:layout>
          <c:overlay val="0"/>
          <c:spPr>
            <a:noFill/>
            <a:ln>
              <a:noFill/>
            </a:ln>
            <a:effectLst/>
          </c:spPr>
          <c:txPr>
            <a:bodyPr rot="0" spcFirstLastPara="1" vertOverflow="ellipsis" vert="horz" wrap="square" anchor="ctr" anchorCtr="1"/>
            <a:lstStyle/>
            <a:p>
              <a:pPr algn="ctr" rtl="0">
                <a:defRPr lang="en-US"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lumMod val="50000"/>
                  </a:schemeClr>
                </a:solidFill>
                <a:latin typeface="+mn-lt"/>
                <a:ea typeface="+mn-ea"/>
                <a:cs typeface="+mn-cs"/>
              </a:defRPr>
            </a:pPr>
            <a:endParaRPr lang="en-US"/>
          </a:p>
        </c:txPr>
        <c:crossAx val="985385712"/>
        <c:crosses val="autoZero"/>
        <c:auto val="1"/>
        <c:lblAlgn val="ctr"/>
        <c:lblOffset val="100"/>
        <c:noMultiLvlLbl val="0"/>
      </c:catAx>
      <c:valAx>
        <c:axId val="985385712"/>
        <c:scaling>
          <c:orientation val="minMax"/>
          <c:max val="35"/>
          <c:min val="25"/>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lumMod val="50000"/>
                  </a:schemeClr>
                </a:solidFill>
                <a:latin typeface="+mn-lt"/>
                <a:ea typeface="+mn-ea"/>
                <a:cs typeface="+mn-cs"/>
              </a:defRPr>
            </a:pPr>
            <a:endParaRPr lang="en-US"/>
          </a:p>
        </c:txPr>
        <c:crossAx val="758119759"/>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tx1">
          <a:alpha val="60000"/>
        </a:schemeClr>
      </a:outerShdw>
    </a:effectLst>
  </c:spPr>
  <c:txPr>
    <a:bodyPr/>
    <a:lstStyle/>
    <a:p>
      <a:pPr>
        <a:defRPr lang="en-US" sz="10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kern="1200" spc="0" baseline="0">
                <a:solidFill>
                  <a:schemeClr val="tx1">
                    <a:lumMod val="65000"/>
                    <a:lumOff val="35000"/>
                  </a:schemeClr>
                </a:solidFill>
              </a:rPr>
              <a:t>Returning Customer Rate </a:t>
            </a:r>
            <a:r>
              <a:rPr lang="en-CA" sz="1400" b="0" i="0" u="none" strike="noStrike" baseline="0">
                <a:solidFill>
                  <a:schemeClr val="tx1">
                    <a:lumMod val="65000"/>
                    <a:lumOff val="35000"/>
                  </a:schemeClr>
                </a:solidFill>
              </a:rPr>
              <a:t>by Total Spending and Avg Order Value</a:t>
            </a:r>
            <a:endParaRPr lang="en-CA">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manualLayout>
          <c:layoutTarget val="inner"/>
          <c:xMode val="edge"/>
          <c:yMode val="edge"/>
          <c:x val="0.31443729376328977"/>
          <c:y val="0.14940584088620343"/>
          <c:w val="0.66248521542043326"/>
          <c:h val="0.66532372275217866"/>
        </c:manualLayout>
      </c:layout>
      <c:barChart>
        <c:barDir val="bar"/>
        <c:grouping val="clustered"/>
        <c:varyColors val="0"/>
        <c:ser>
          <c:idx val="0"/>
          <c:order val="0"/>
          <c:tx>
            <c:v>Historical Spending</c:v>
          </c:tx>
          <c:spPr>
            <a:solidFill>
              <a:schemeClr val="accent6">
                <a:lumMod val="50000"/>
              </a:schemeClr>
            </a:solidFill>
            <a:ln>
              <a:noFill/>
            </a:ln>
            <a:effectLst/>
          </c:spPr>
          <c:invertIfNegative val="0"/>
          <c:dLbls>
            <c:dLbl>
              <c:idx val="1"/>
              <c:numFmt formatCode="0.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4-CAFB-42C6-86AC-5FFBAFB94145}"/>
                </c:ext>
              </c:extLst>
            </c:dLbl>
            <c:dLbl>
              <c:idx val="2"/>
              <c:numFmt formatCode="0.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AFB-42C6-86AC-5FFBAFB94145}"/>
                </c:ext>
              </c:extLst>
            </c:dLbl>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'Purchasing - Spending'!$A$8:$A$11</c:f>
              <c:strCache>
                <c:ptCount val="4"/>
                <c:pt idx="0">
                  <c:v>Low </c:v>
                </c:pt>
                <c:pt idx="1">
                  <c:v>Medium </c:v>
                </c:pt>
                <c:pt idx="2">
                  <c:v>High</c:v>
                </c:pt>
                <c:pt idx="3">
                  <c:v>Very High</c:v>
                </c:pt>
              </c:strCache>
            </c:strRef>
          </c:cat>
          <c:val>
            <c:numRef>
              <c:f>'Purchasing - Spending'!$B$8:$B$11</c:f>
              <c:numCache>
                <c:formatCode>General</c:formatCode>
                <c:ptCount val="4"/>
                <c:pt idx="0">
                  <c:v>30.33</c:v>
                </c:pt>
                <c:pt idx="1">
                  <c:v>31.48</c:v>
                </c:pt>
                <c:pt idx="2">
                  <c:v>31.54</c:v>
                </c:pt>
                <c:pt idx="3">
                  <c:v>32.51</c:v>
                </c:pt>
              </c:numCache>
            </c:numRef>
          </c:val>
          <c:extLst>
            <c:ext xmlns:c16="http://schemas.microsoft.com/office/drawing/2014/chart" uri="{C3380CC4-5D6E-409C-BE32-E72D297353CC}">
              <c16:uniqueId val="{00000000-CAFB-42C6-86AC-5FFBAFB94145}"/>
            </c:ext>
          </c:extLst>
        </c:ser>
        <c:ser>
          <c:idx val="1"/>
          <c:order val="1"/>
          <c:tx>
            <c:v>Historical Avg Order Value</c:v>
          </c:tx>
          <c:spPr>
            <a:solidFill>
              <a:schemeClr val="accent6">
                <a:lumMod val="40000"/>
                <a:lumOff val="60000"/>
              </a:schemeClr>
            </a:solidFill>
            <a:ln>
              <a:noFill/>
            </a:ln>
            <a:effectLst/>
          </c:spPr>
          <c:invertIfNegative val="0"/>
          <c:dLbls>
            <c:dLbl>
              <c:idx val="2"/>
              <c:numFmt formatCode="0.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CAFB-42C6-86AC-5FFBAFB94145}"/>
                </c:ext>
              </c:extLst>
            </c:dLbl>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'Purchasing - Spending'!$A$8:$A$11</c:f>
              <c:strCache>
                <c:ptCount val="4"/>
                <c:pt idx="0">
                  <c:v>Low </c:v>
                </c:pt>
                <c:pt idx="1">
                  <c:v>Medium </c:v>
                </c:pt>
                <c:pt idx="2">
                  <c:v>High</c:v>
                </c:pt>
                <c:pt idx="3">
                  <c:v>Very High</c:v>
                </c:pt>
              </c:strCache>
            </c:strRef>
          </c:cat>
          <c:val>
            <c:numRef>
              <c:f>'Purchasing - Spending'!$C$8:$C$11</c:f>
              <c:numCache>
                <c:formatCode>General</c:formatCode>
                <c:ptCount val="4"/>
                <c:pt idx="0">
                  <c:v>30.63</c:v>
                </c:pt>
                <c:pt idx="1">
                  <c:v>32.159999999999997</c:v>
                </c:pt>
                <c:pt idx="2">
                  <c:v>31.51</c:v>
                </c:pt>
                <c:pt idx="3">
                  <c:v>31.56</c:v>
                </c:pt>
              </c:numCache>
            </c:numRef>
          </c:val>
          <c:extLst>
            <c:ext xmlns:c16="http://schemas.microsoft.com/office/drawing/2014/chart" uri="{C3380CC4-5D6E-409C-BE32-E72D297353CC}">
              <c16:uniqueId val="{00000001-CAFB-42C6-86AC-5FFBAFB94145}"/>
            </c:ext>
          </c:extLst>
        </c:ser>
        <c:dLbls>
          <c:dLblPos val="outEnd"/>
          <c:showLegendKey val="0"/>
          <c:showVal val="1"/>
          <c:showCatName val="0"/>
          <c:showSerName val="0"/>
          <c:showPercent val="0"/>
          <c:showBubbleSize val="0"/>
        </c:dLbls>
        <c:gapWidth val="182"/>
        <c:axId val="845150175"/>
        <c:axId val="985379472"/>
      </c:barChart>
      <c:catAx>
        <c:axId val="845150175"/>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sz="1100" b="0" i="0" u="none" strike="noStrike" baseline="0">
                    <a:solidFill>
                      <a:schemeClr val="tx1">
                        <a:lumMod val="65000"/>
                        <a:lumOff val="35000"/>
                      </a:schemeClr>
                    </a:solidFill>
                  </a:rPr>
                  <a:t>Value Tier</a:t>
                </a:r>
                <a:endParaRPr lang="en-CA" sz="1100">
                  <a:solidFill>
                    <a:schemeClr val="tx1">
                      <a:lumMod val="65000"/>
                      <a:lumOff val="35000"/>
                    </a:schemeClr>
                  </a:solidFill>
                </a:endParaRPr>
              </a:p>
            </c:rich>
          </c:tx>
          <c:layout>
            <c:manualLayout>
              <c:xMode val="edge"/>
              <c:yMode val="edge"/>
              <c:x val="0.22126203371584002"/>
              <c:y val="0.37959036087256465"/>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85379472"/>
        <c:crosses val="autoZero"/>
        <c:auto val="1"/>
        <c:lblAlgn val="ctr"/>
        <c:lblOffset val="100"/>
        <c:noMultiLvlLbl val="0"/>
      </c:catAx>
      <c:valAx>
        <c:axId val="9853794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150175"/>
        <c:crosses val="autoZero"/>
        <c:crossBetween val="between"/>
        <c:majorUnit val="2"/>
      </c:valAx>
      <c:spPr>
        <a:noFill/>
        <a:ln>
          <a:noFill/>
        </a:ln>
        <a:effectLst/>
      </c:spPr>
    </c:plotArea>
    <c:legend>
      <c:legendPos val="b"/>
      <c:layout>
        <c:manualLayout>
          <c:xMode val="edge"/>
          <c:yMode val="edge"/>
          <c:x val="0.36726724495191271"/>
          <c:y val="0.91591090388625873"/>
          <c:w val="0.26546551009617447"/>
          <c:h val="6.797630658705426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6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kern="1200" spc="0" baseline="0">
                <a:solidFill>
                  <a:schemeClr val="tx1">
                    <a:lumMod val="65000"/>
                    <a:lumOff val="35000"/>
                  </a:schemeClr>
                </a:solidFill>
              </a:rPr>
              <a:t>Returning Customer Rate </a:t>
            </a:r>
            <a:r>
              <a:rPr lang="en-CA" sz="1400" b="0" i="0" u="none" strike="noStrike" baseline="0">
                <a:solidFill>
                  <a:schemeClr val="tx1">
                    <a:lumMod val="65000"/>
                    <a:lumOff val="35000"/>
                  </a:schemeClr>
                </a:solidFill>
              </a:rPr>
              <a:t>by Digital Engagement Level</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008586335021085E-2"/>
          <c:y val="0.18230911203773326"/>
          <c:w val="0.88613159296408239"/>
          <c:h val="0.64760211346158025"/>
        </c:manualLayout>
      </c:layout>
      <c:lineChart>
        <c:grouping val="standard"/>
        <c:varyColors val="0"/>
        <c:ser>
          <c:idx val="0"/>
          <c:order val="0"/>
          <c:tx>
            <c:v>Future Repeat Purchase Rate</c:v>
          </c:tx>
          <c:spPr>
            <a:ln w="28575" cap="rnd">
              <a:solidFill>
                <a:srgbClr val="014D4E"/>
              </a:solidFill>
              <a:round/>
            </a:ln>
            <a:effectLst/>
          </c:spPr>
          <c:marker>
            <c:symbol val="circle"/>
            <c:size val="10"/>
            <c:spPr>
              <a:solidFill>
                <a:srgbClr val="014D4E"/>
              </a:solidFill>
              <a:ln w="9525">
                <a:solidFill>
                  <a:schemeClr val="accent1"/>
                </a:solidFill>
              </a:ln>
              <a:effectLst/>
            </c:spPr>
          </c:marker>
          <c:dLbls>
            <c:dLbl>
              <c:idx val="1"/>
              <c:numFmt formatCode="0.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FA2D-4124-9495-F3DCAE211B76}"/>
                </c:ext>
              </c:extLst>
            </c:dLbl>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'Digital - Engagement Repeat'!$A$2:$A$5</c:f>
              <c:strCache>
                <c:ptCount val="4"/>
                <c:pt idx="0">
                  <c:v>1-4 </c:v>
                </c:pt>
                <c:pt idx="1">
                  <c:v>5-6</c:v>
                </c:pt>
                <c:pt idx="2">
                  <c:v>7-8</c:v>
                </c:pt>
                <c:pt idx="3">
                  <c:v>9+</c:v>
                </c:pt>
              </c:strCache>
            </c:strRef>
          </c:cat>
          <c:val>
            <c:numRef>
              <c:f>'Digital - Engagement Repeat'!$D$2:$D$5</c:f>
              <c:numCache>
                <c:formatCode>General</c:formatCode>
                <c:ptCount val="4"/>
                <c:pt idx="0">
                  <c:v>31.21</c:v>
                </c:pt>
                <c:pt idx="1">
                  <c:v>30.72</c:v>
                </c:pt>
                <c:pt idx="2">
                  <c:v>30.69</c:v>
                </c:pt>
                <c:pt idx="3">
                  <c:v>33.69</c:v>
                </c:pt>
              </c:numCache>
            </c:numRef>
          </c:val>
          <c:smooth val="0"/>
          <c:extLst>
            <c:ext xmlns:c16="http://schemas.microsoft.com/office/drawing/2014/chart" uri="{C3380CC4-5D6E-409C-BE32-E72D297353CC}">
              <c16:uniqueId val="{00000000-FA2D-4124-9495-F3DCAE211B76}"/>
            </c:ext>
          </c:extLst>
        </c:ser>
        <c:dLbls>
          <c:dLblPos val="t"/>
          <c:showLegendKey val="0"/>
          <c:showVal val="1"/>
          <c:showCatName val="0"/>
          <c:showSerName val="0"/>
          <c:showPercent val="0"/>
          <c:showBubbleSize val="0"/>
        </c:dLbls>
        <c:marker val="1"/>
        <c:smooth val="0"/>
        <c:axId val="927590719"/>
        <c:axId val="985316592"/>
      </c:lineChart>
      <c:catAx>
        <c:axId val="927590719"/>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sz="1100">
                    <a:solidFill>
                      <a:schemeClr val="tx1">
                        <a:lumMod val="65000"/>
                        <a:lumOff val="35000"/>
                      </a:schemeClr>
                    </a:solidFill>
                  </a:rPr>
                  <a:t>Historical</a:t>
                </a:r>
                <a:r>
                  <a:rPr lang="en-CA" sz="1100" baseline="0">
                    <a:solidFill>
                      <a:schemeClr val="tx1">
                        <a:lumMod val="65000"/>
                        <a:lumOff val="35000"/>
                      </a:schemeClr>
                    </a:solidFill>
                  </a:rPr>
                  <a:t> Digital Interactions</a:t>
                </a:r>
                <a:endParaRPr lang="en-CA" sz="1100">
                  <a:solidFill>
                    <a:schemeClr val="tx1">
                      <a:lumMod val="65000"/>
                      <a:lumOff val="35000"/>
                    </a:schemeClr>
                  </a:solidFill>
                </a:endParaRPr>
              </a:p>
            </c:rich>
          </c:tx>
          <c:layout>
            <c:manualLayout>
              <c:xMode val="edge"/>
              <c:yMode val="edge"/>
              <c:x val="0.30395138260529164"/>
              <c:y val="0.9312555341651738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85316592"/>
        <c:crosses val="autoZero"/>
        <c:auto val="1"/>
        <c:lblAlgn val="ctr"/>
        <c:lblOffset val="100"/>
        <c:noMultiLvlLbl val="0"/>
      </c:catAx>
      <c:valAx>
        <c:axId val="9853165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27590719"/>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60000"/>
        </a:prst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solidFill>
                  <a:schemeClr val="tx1">
                    <a:lumMod val="65000"/>
                    <a:lumOff val="35000"/>
                  </a:schemeClr>
                </a:solidFill>
              </a:rPr>
              <a:t>Difference in Returning Customer Rate by Digital Behavior</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703973895021138"/>
          <c:y val="0.17171296296296296"/>
          <c:w val="0.81016521373409311"/>
          <c:h val="0.77736111111111106"/>
        </c:manualLayout>
      </c:layout>
      <c:barChart>
        <c:barDir val="bar"/>
        <c:grouping val="clustered"/>
        <c:varyColors val="0"/>
        <c:ser>
          <c:idx val="0"/>
          <c:order val="0"/>
          <c:tx>
            <c:v>Repeat Rate Lift</c:v>
          </c:tx>
          <c:spPr>
            <a:gradFill>
              <a:gsLst>
                <a:gs pos="0">
                  <a:srgbClr val="014D4E"/>
                </a:gs>
                <a:gs pos="100000">
                  <a:srgbClr val="4DB6AC"/>
                </a:gs>
              </a:gsLst>
              <a:lin ang="0" scaled="0"/>
            </a:gradFill>
            <a:ln>
              <a:noFill/>
            </a:ln>
            <a:effectLst/>
          </c:spPr>
          <c:invertIfNegative val="0"/>
          <c:dLbls>
            <c:numFmt formatCode="\+0.00&quot; pp&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'Digital - Behavior Repeat'!$H$2:$H$5</c:f>
              <c:strCache>
                <c:ptCount val="4"/>
                <c:pt idx="0">
                  <c:v>Page View</c:v>
                </c:pt>
                <c:pt idx="1">
                  <c:v>Login</c:v>
                </c:pt>
                <c:pt idx="2">
                  <c:v>Search</c:v>
                </c:pt>
                <c:pt idx="3">
                  <c:v>Add to Cart</c:v>
                </c:pt>
              </c:strCache>
            </c:strRef>
          </c:cat>
          <c:val>
            <c:numRef>
              <c:f>'Digital - Behavior Repeat'!$I$2:$I$5</c:f>
              <c:numCache>
                <c:formatCode>General</c:formatCode>
                <c:ptCount val="4"/>
                <c:pt idx="0">
                  <c:v>2.71</c:v>
                </c:pt>
                <c:pt idx="1">
                  <c:v>0.93</c:v>
                </c:pt>
                <c:pt idx="2">
                  <c:v>0.74</c:v>
                </c:pt>
                <c:pt idx="3">
                  <c:v>0.63</c:v>
                </c:pt>
              </c:numCache>
            </c:numRef>
          </c:val>
          <c:extLst>
            <c:ext xmlns:c16="http://schemas.microsoft.com/office/drawing/2014/chart" uri="{C3380CC4-5D6E-409C-BE32-E72D297353CC}">
              <c16:uniqueId val="{00000005-3ECA-4F00-9EFC-120B9DF9958E}"/>
            </c:ext>
          </c:extLst>
        </c:ser>
        <c:dLbls>
          <c:dLblPos val="outEnd"/>
          <c:showLegendKey val="0"/>
          <c:showVal val="1"/>
          <c:showCatName val="0"/>
          <c:showSerName val="0"/>
          <c:showPercent val="0"/>
          <c:showBubbleSize val="0"/>
        </c:dLbls>
        <c:gapWidth val="182"/>
        <c:axId val="1476482783"/>
        <c:axId val="985216272"/>
      </c:barChart>
      <c:catAx>
        <c:axId val="1476482783"/>
        <c:scaling>
          <c:orientation val="maxMin"/>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sz="1100" b="0" i="0" u="none" strike="noStrike" kern="1200" baseline="0">
                    <a:solidFill>
                      <a:schemeClr val="tx1">
                        <a:lumMod val="65000"/>
                        <a:lumOff val="35000"/>
                      </a:schemeClr>
                    </a:solidFill>
                  </a:rPr>
                  <a:t>Historical Behavior</a:t>
                </a:r>
                <a:endParaRPr lang="en-CA" sz="1100">
                  <a:solidFill>
                    <a:schemeClr val="tx1">
                      <a:lumMod val="65000"/>
                      <a:lumOff val="35000"/>
                    </a:schemeClr>
                  </a:solidFill>
                </a:endParaRPr>
              </a:p>
            </c:rich>
          </c:tx>
          <c:layout>
            <c:manualLayout>
              <c:xMode val="edge"/>
              <c:yMode val="edge"/>
              <c:x val="1.4071913276523912E-2"/>
              <c:y val="0.32508974798470308"/>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85216272"/>
        <c:crosses val="autoZero"/>
        <c:auto val="1"/>
        <c:lblAlgn val="ctr"/>
        <c:lblOffset val="100"/>
        <c:noMultiLvlLbl val="0"/>
      </c:catAx>
      <c:valAx>
        <c:axId val="985216272"/>
        <c:scaling>
          <c:orientation val="minMax"/>
        </c:scaling>
        <c:delete val="0"/>
        <c:axPos val="t"/>
        <c:numFmt formatCode="General" sourceLinked="1"/>
        <c:majorTickMark val="out"/>
        <c:minorTickMark val="none"/>
        <c:tickLblPos val="high"/>
        <c:spPr>
          <a:noFill/>
          <a:ln>
            <a:noFill/>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47648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60000"/>
        </a:prstClr>
      </a:outerShdw>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CA" sz="1400" b="0" i="0" u="none" strike="noStrike" baseline="0">
                <a:solidFill>
                  <a:schemeClr val="tx1">
                    <a:lumMod val="65000"/>
                    <a:lumOff val="35000"/>
                  </a:schemeClr>
                </a:solidFill>
              </a:rPr>
              <a:t>Avg Future Revenue by Digital Behavior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CA" sz="1100" b="0" i="0" u="none" strike="noStrike" baseline="0">
                <a:solidFill>
                  <a:schemeClr val="tx1">
                    <a:lumMod val="65000"/>
                    <a:lumOff val="35000"/>
                  </a:schemeClr>
                </a:solidFill>
              </a:rPr>
              <a:t>(Performed vs Not Performed)</a:t>
            </a:r>
            <a:endParaRPr lang="en-US" sz="1100" b="0" i="0" u="none" strike="noStrike" kern="1200" spc="0" baseline="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3087514864931427"/>
          <c:y val="0.16349510396883418"/>
          <c:w val="0.83802565564022991"/>
          <c:h val="0.68765902513594146"/>
        </c:manualLayout>
      </c:layout>
      <c:scatterChart>
        <c:scatterStyle val="lineMarker"/>
        <c:varyColors val="0"/>
        <c:ser>
          <c:idx val="0"/>
          <c:order val="0"/>
          <c:tx>
            <c:v>Performed</c:v>
          </c:tx>
          <c:spPr>
            <a:ln w="25400" cap="rnd">
              <a:noFill/>
              <a:round/>
            </a:ln>
            <a:effectLst/>
          </c:spPr>
          <c:marker>
            <c:symbol val="circle"/>
            <c:size val="10"/>
            <c:spPr>
              <a:solidFill>
                <a:srgbClr val="014D4E"/>
              </a:solidFill>
              <a:ln w="9525">
                <a:noFill/>
              </a:ln>
              <a:effectLst/>
            </c:spPr>
          </c:marker>
          <c:dLbls>
            <c:dLbl>
              <c:idx val="0"/>
              <c:tx>
                <c:rich>
                  <a:bodyPr/>
                  <a:lstStyle/>
                  <a:p>
                    <a:fld id="{5855C079-3E1C-4DC0-8EBB-0A17D7A37C98}" type="XVALUE">
                      <a:rPr lang="en-US"/>
                      <a:pPr/>
                      <a:t>[X VALUE]</a:t>
                    </a:fld>
                    <a:endParaRPr lang="en-CA"/>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E78D-4A25-9240-E88A836FA1BD}"/>
                </c:ext>
              </c:extLst>
            </c:dLbl>
            <c:dLbl>
              <c:idx val="1"/>
              <c:dLblPos val="r"/>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78D-4A25-9240-E88A836FA1BD}"/>
                </c:ext>
              </c:extLst>
            </c:dLbl>
            <c:dLbl>
              <c:idx val="3"/>
              <c:dLblPos val="r"/>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E78D-4A25-9240-E88A836FA1BD}"/>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l"/>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errBars>
            <c:errDir val="x"/>
            <c:errBarType val="both"/>
            <c:errValType val="cust"/>
            <c:noEndCap val="1"/>
            <c:plus>
              <c:numRef>
                <c:f>'Digital - Behavior Value'!$E$8:$E$11</c:f>
                <c:numCache>
                  <c:formatCode>General</c:formatCode>
                  <c:ptCount val="4"/>
                  <c:pt idx="0">
                    <c:v>3738.6800000000021</c:v>
                  </c:pt>
                  <c:pt idx="1">
                    <c:v>0</c:v>
                  </c:pt>
                  <c:pt idx="2">
                    <c:v>241.90000000000146</c:v>
                  </c:pt>
                  <c:pt idx="3">
                    <c:v>0</c:v>
                  </c:pt>
                </c:numCache>
              </c:numRef>
            </c:plus>
            <c:minus>
              <c:numRef>
                <c:f>'Digital - Behavior Value'!$F$8:$F$11</c:f>
                <c:numCache>
                  <c:formatCode>General</c:formatCode>
                  <c:ptCount val="4"/>
                  <c:pt idx="0">
                    <c:v>0</c:v>
                  </c:pt>
                  <c:pt idx="1">
                    <c:v>408.78000000000065</c:v>
                  </c:pt>
                  <c:pt idx="2">
                    <c:v>0</c:v>
                  </c:pt>
                  <c:pt idx="3">
                    <c:v>282.92000000000007</c:v>
                  </c:pt>
                </c:numCache>
              </c:numRef>
            </c:minus>
            <c:spPr>
              <a:noFill/>
              <a:ln w="9525" cap="flat" cmpd="sng" algn="ctr">
                <a:solidFill>
                  <a:srgbClr val="4DB6AC"/>
                </a:solidFill>
                <a:round/>
              </a:ln>
              <a:effectLst/>
            </c:spPr>
          </c:errBars>
          <c:xVal>
            <c:numRef>
              <c:f>'Digital - Behavior Value'!$B$8:$B$11</c:f>
              <c:numCache>
                <c:formatCode>General</c:formatCode>
                <c:ptCount val="4"/>
                <c:pt idx="0">
                  <c:v>16371.9</c:v>
                </c:pt>
                <c:pt idx="1">
                  <c:v>16598.77</c:v>
                </c:pt>
                <c:pt idx="2">
                  <c:v>16353.71</c:v>
                </c:pt>
                <c:pt idx="3">
                  <c:v>16592.59</c:v>
                </c:pt>
              </c:numCache>
            </c:numRef>
          </c:xVal>
          <c:yVal>
            <c:numRef>
              <c:f>'Digital - Behavior Value'!$D$8:$D$11</c:f>
              <c:numCache>
                <c:formatCode>General</c:formatCode>
                <c:ptCount val="4"/>
                <c:pt idx="0">
                  <c:v>4</c:v>
                </c:pt>
                <c:pt idx="1">
                  <c:v>3</c:v>
                </c:pt>
                <c:pt idx="2">
                  <c:v>2</c:v>
                </c:pt>
                <c:pt idx="3">
                  <c:v>1</c:v>
                </c:pt>
              </c:numCache>
            </c:numRef>
          </c:yVal>
          <c:smooth val="0"/>
          <c:extLst>
            <c:ext xmlns:c16="http://schemas.microsoft.com/office/drawing/2014/chart" uri="{C3380CC4-5D6E-409C-BE32-E72D297353CC}">
              <c16:uniqueId val="{00000000-E78D-4A25-9240-E88A836FA1BD}"/>
            </c:ext>
          </c:extLst>
        </c:ser>
        <c:ser>
          <c:idx val="1"/>
          <c:order val="1"/>
          <c:tx>
            <c:v>Not Performed</c:v>
          </c:tx>
          <c:spPr>
            <a:ln w="25400" cap="rnd">
              <a:noFill/>
              <a:round/>
            </a:ln>
            <a:effectLst/>
          </c:spPr>
          <c:marker>
            <c:symbol val="circle"/>
            <c:size val="10"/>
            <c:spPr>
              <a:solidFill>
                <a:srgbClr val="4DB6AC"/>
              </a:solidFill>
              <a:ln w="9525">
                <a:noFill/>
              </a:ln>
              <a:effectLst/>
            </c:spPr>
          </c:marker>
          <c:dLbls>
            <c:dLbl>
              <c:idx val="1"/>
              <c:layout>
                <c:manualLayout>
                  <c:x val="-8.7543574479463523E-2"/>
                  <c:y val="0"/>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78D-4A25-9240-E88A836FA1BD}"/>
                </c:ext>
              </c:extLst>
            </c:dLbl>
            <c:dLbl>
              <c:idx val="3"/>
              <c:layout>
                <c:manualLayout>
                  <c:x val="-9.1388683653149255E-2"/>
                  <c:y val="0"/>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78D-4A25-9240-E88A836FA1BD}"/>
                </c:ext>
              </c:extLst>
            </c:dLbl>
            <c:numFmt formatCode="&quot;$&quot;#,##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'Digital - Behavior Value'!$C$8:$C$11</c:f>
              <c:numCache>
                <c:formatCode>General</c:formatCode>
                <c:ptCount val="4"/>
                <c:pt idx="0">
                  <c:v>20110.580000000002</c:v>
                </c:pt>
                <c:pt idx="1">
                  <c:v>16189.99</c:v>
                </c:pt>
                <c:pt idx="2">
                  <c:v>16595.61</c:v>
                </c:pt>
                <c:pt idx="3">
                  <c:v>16309.67</c:v>
                </c:pt>
              </c:numCache>
            </c:numRef>
          </c:xVal>
          <c:yVal>
            <c:numRef>
              <c:f>'Digital - Behavior Value'!$D$8:$D$11</c:f>
              <c:numCache>
                <c:formatCode>General</c:formatCode>
                <c:ptCount val="4"/>
                <c:pt idx="0">
                  <c:v>4</c:v>
                </c:pt>
                <c:pt idx="1">
                  <c:v>3</c:v>
                </c:pt>
                <c:pt idx="2">
                  <c:v>2</c:v>
                </c:pt>
                <c:pt idx="3">
                  <c:v>1</c:v>
                </c:pt>
              </c:numCache>
            </c:numRef>
          </c:yVal>
          <c:smooth val="0"/>
          <c:extLst>
            <c:ext xmlns:c16="http://schemas.microsoft.com/office/drawing/2014/chart" uri="{C3380CC4-5D6E-409C-BE32-E72D297353CC}">
              <c16:uniqueId val="{00000001-E78D-4A25-9240-E88A836FA1BD}"/>
            </c:ext>
          </c:extLst>
        </c:ser>
        <c:dLbls>
          <c:showLegendKey val="0"/>
          <c:showVal val="0"/>
          <c:showCatName val="0"/>
          <c:showSerName val="0"/>
          <c:showPercent val="0"/>
          <c:showBubbleSize val="0"/>
        </c:dLbls>
        <c:axId val="426913520"/>
        <c:axId val="985224432"/>
      </c:scatterChart>
      <c:valAx>
        <c:axId val="426913520"/>
        <c:scaling>
          <c:orientation val="minMax"/>
          <c:min val="150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85224432"/>
        <c:crosses val="autoZero"/>
        <c:crossBetween val="midCat"/>
      </c:valAx>
      <c:valAx>
        <c:axId val="985224432"/>
        <c:scaling>
          <c:orientation val="minMax"/>
        </c:scaling>
        <c:delete val="1"/>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sz="1100" b="0" i="0" u="none" strike="noStrike" kern="1200" baseline="0">
                    <a:solidFill>
                      <a:schemeClr val="tx1">
                        <a:lumMod val="65000"/>
                        <a:lumOff val="35000"/>
                      </a:schemeClr>
                    </a:solidFill>
                  </a:rPr>
                  <a:t>Historical Behavior </a:t>
                </a:r>
                <a:endParaRPr lang="en-CA" sz="1100">
                  <a:solidFill>
                    <a:schemeClr val="tx1">
                      <a:lumMod val="65000"/>
                      <a:lumOff val="35000"/>
                    </a:schemeClr>
                  </a:solidFill>
                </a:endParaRPr>
              </a:p>
            </c:rich>
          </c:tx>
          <c:layout>
            <c:manualLayout>
              <c:xMode val="edge"/>
              <c:yMode val="edge"/>
              <c:x val="7.5843761850587785E-3"/>
              <c:y val="0.31920430905393998"/>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one"/>
        <c:crossAx val="4269135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60000"/>
        </a:prstClr>
      </a:outerShdw>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kern="1200" spc="0" baseline="0">
                <a:solidFill>
                  <a:schemeClr val="tx1">
                    <a:lumMod val="65000"/>
                    <a:lumOff val="35000"/>
                  </a:schemeClr>
                </a:solidFill>
              </a:rPr>
              <a:t>Returning Customer Rate </a:t>
            </a:r>
            <a:r>
              <a:rPr lang="en-CA" sz="1400" b="0" i="0" u="none" strike="noStrike" baseline="0">
                <a:solidFill>
                  <a:schemeClr val="tx1">
                    <a:lumMod val="65000"/>
                    <a:lumOff val="35000"/>
                  </a:schemeClr>
                </a:solidFill>
              </a:rPr>
              <a:t>by Support Request Frequency</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future_repeat_rate</c:v>
          </c:tx>
          <c:spPr>
            <a:gradFill>
              <a:gsLst>
                <a:gs pos="0">
                  <a:schemeClr val="accent2"/>
                </a:gs>
                <a:gs pos="100000">
                  <a:schemeClr val="accent2">
                    <a:lumMod val="60000"/>
                    <a:lumOff val="40000"/>
                  </a:schemeClr>
                </a:gs>
              </a:gsLst>
              <a:lin ang="16200000" scaled="0"/>
            </a:gradFill>
            <a:ln>
              <a:noFill/>
            </a:ln>
            <a:effectLst/>
          </c:spPr>
          <c:invertIfNegative val="0"/>
          <c:dLbls>
            <c:numFmt formatCode="0.0&quot;%&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 - Ticket Frequency'!$A$2:$A$5</c:f>
              <c:strCache>
                <c:ptCount val="4"/>
                <c:pt idx="0">
                  <c:v>0</c:v>
                </c:pt>
                <c:pt idx="1">
                  <c:v>1</c:v>
                </c:pt>
                <c:pt idx="2">
                  <c:v>2</c:v>
                </c:pt>
                <c:pt idx="3">
                  <c:v>3+</c:v>
                </c:pt>
              </c:strCache>
            </c:strRef>
          </c:cat>
          <c:val>
            <c:numRef>
              <c:f>'Support - Ticket Frequency'!$D$2:$D$5</c:f>
              <c:numCache>
                <c:formatCode>General</c:formatCode>
                <c:ptCount val="4"/>
                <c:pt idx="0">
                  <c:v>31.3</c:v>
                </c:pt>
                <c:pt idx="1">
                  <c:v>31.4</c:v>
                </c:pt>
                <c:pt idx="2">
                  <c:v>32.44</c:v>
                </c:pt>
                <c:pt idx="3">
                  <c:v>35.61</c:v>
                </c:pt>
              </c:numCache>
            </c:numRef>
          </c:val>
          <c:extLst>
            <c:ext xmlns:c16="http://schemas.microsoft.com/office/drawing/2014/chart" uri="{C3380CC4-5D6E-409C-BE32-E72D297353CC}">
              <c16:uniqueId val="{00000000-28C1-45F1-8667-8A6D15A3E741}"/>
            </c:ext>
          </c:extLst>
        </c:ser>
        <c:dLbls>
          <c:dLblPos val="outEnd"/>
          <c:showLegendKey val="0"/>
          <c:showVal val="1"/>
          <c:showCatName val="0"/>
          <c:showSerName val="0"/>
          <c:showPercent val="0"/>
          <c:showBubbleSize val="0"/>
        </c:dLbls>
        <c:gapWidth val="219"/>
        <c:overlap val="-27"/>
        <c:axId val="898054415"/>
        <c:axId val="985276752"/>
      </c:barChart>
      <c:catAx>
        <c:axId val="8980544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sz="1100">
                    <a:solidFill>
                      <a:schemeClr val="tx1">
                        <a:lumMod val="65000"/>
                        <a:lumOff val="35000"/>
                      </a:schemeClr>
                    </a:solidFill>
                  </a:rPr>
                  <a:t>Historical</a:t>
                </a:r>
                <a:r>
                  <a:rPr lang="en-CA" sz="1100" baseline="0">
                    <a:solidFill>
                      <a:schemeClr val="tx1">
                        <a:lumMod val="65000"/>
                        <a:lumOff val="35000"/>
                      </a:schemeClr>
                    </a:solidFill>
                  </a:rPr>
                  <a:t> Support Requests</a:t>
                </a:r>
                <a:endParaRPr lang="en-CA" sz="1100">
                  <a:solidFill>
                    <a:schemeClr val="tx1">
                      <a:lumMod val="65000"/>
                      <a:lumOff val="35000"/>
                    </a:schemeClr>
                  </a:solidFill>
                </a:endParaRPr>
              </a:p>
            </c:rich>
          </c:tx>
          <c:layout>
            <c:manualLayout>
              <c:xMode val="edge"/>
              <c:yMode val="edge"/>
              <c:x val="0.33965163811234789"/>
              <c:y val="0.9389713614703004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85276752"/>
        <c:crosses val="autoZero"/>
        <c:auto val="1"/>
        <c:lblAlgn val="ctr"/>
        <c:lblOffset val="100"/>
        <c:noMultiLvlLbl val="0"/>
      </c:catAx>
      <c:valAx>
        <c:axId val="9852767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898054415"/>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tx1">
          <a:alpha val="60000"/>
        </a:schemeClr>
      </a:outerShdw>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solidFill>
                  <a:schemeClr val="tx1">
                    <a:lumMod val="65000"/>
                    <a:lumOff val="35000"/>
                  </a:schemeClr>
                </a:solidFill>
              </a:rPr>
              <a:t>Avg Future Revenue by Avg Support Resolution Time</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avg_future_revenue_per_customer</c:v>
          </c:tx>
          <c:spPr>
            <a:ln w="28575" cap="rnd">
              <a:solidFill>
                <a:schemeClr val="accent2"/>
              </a:solidFill>
              <a:round/>
            </a:ln>
            <a:effectLst/>
          </c:spPr>
          <c:marker>
            <c:symbol val="circle"/>
            <c:size val="10"/>
            <c:spPr>
              <a:solidFill>
                <a:schemeClr val="accent2"/>
              </a:solidFill>
              <a:ln w="9525">
                <a:solidFill>
                  <a:schemeClr val="accent2"/>
                </a:solidFill>
              </a:ln>
              <a:effectLst/>
            </c:spPr>
          </c:marker>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 - Resolution Time'!$A$2:$A$5</c:f>
              <c:strCache>
                <c:ptCount val="4"/>
                <c:pt idx="0">
                  <c:v>0-72 Hours</c:v>
                </c:pt>
                <c:pt idx="1">
                  <c:v>73-120 Hours</c:v>
                </c:pt>
                <c:pt idx="2">
                  <c:v>121-168 Hours</c:v>
                </c:pt>
                <c:pt idx="3">
                  <c:v>169+ Hours</c:v>
                </c:pt>
              </c:strCache>
            </c:strRef>
          </c:cat>
          <c:val>
            <c:numRef>
              <c:f>'Support - Resolution Time'!$E$2:$E$5</c:f>
              <c:numCache>
                <c:formatCode>General</c:formatCode>
                <c:ptCount val="4"/>
                <c:pt idx="0">
                  <c:v>19072.8</c:v>
                </c:pt>
                <c:pt idx="1">
                  <c:v>17841.02</c:v>
                </c:pt>
                <c:pt idx="2">
                  <c:v>16525.599999999999</c:v>
                </c:pt>
                <c:pt idx="3">
                  <c:v>16083.77</c:v>
                </c:pt>
              </c:numCache>
            </c:numRef>
          </c:val>
          <c:smooth val="0"/>
          <c:extLst>
            <c:ext xmlns:c16="http://schemas.microsoft.com/office/drawing/2014/chart" uri="{C3380CC4-5D6E-409C-BE32-E72D297353CC}">
              <c16:uniqueId val="{00000001-0719-40AC-B64D-4A79E720E66E}"/>
            </c:ext>
          </c:extLst>
        </c:ser>
        <c:dLbls>
          <c:showLegendKey val="0"/>
          <c:showVal val="1"/>
          <c:showCatName val="0"/>
          <c:showSerName val="0"/>
          <c:showPercent val="0"/>
          <c:showBubbleSize val="0"/>
        </c:dLbls>
        <c:marker val="1"/>
        <c:smooth val="0"/>
        <c:axId val="898106383"/>
        <c:axId val="1024709680"/>
      </c:lineChart>
      <c:catAx>
        <c:axId val="898106383"/>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sz="1100">
                    <a:solidFill>
                      <a:schemeClr val="tx1">
                        <a:lumMod val="65000"/>
                        <a:lumOff val="35000"/>
                      </a:schemeClr>
                    </a:solidFill>
                  </a:rPr>
                  <a:t>Avg</a:t>
                </a:r>
                <a:r>
                  <a:rPr lang="en-CA" sz="1100" baseline="0">
                    <a:solidFill>
                      <a:schemeClr val="tx1">
                        <a:lumMod val="65000"/>
                        <a:lumOff val="35000"/>
                      </a:schemeClr>
                    </a:solidFill>
                  </a:rPr>
                  <a:t> Historical Support Resolution Time (per request)</a:t>
                </a:r>
                <a:endParaRPr lang="en-CA" sz="1100">
                  <a:solidFill>
                    <a:schemeClr val="tx1">
                      <a:lumMod val="65000"/>
                      <a:lumOff val="35000"/>
                    </a:schemeClr>
                  </a:solidFill>
                </a:endParaRPr>
              </a:p>
            </c:rich>
          </c:tx>
          <c:layout>
            <c:manualLayout>
              <c:xMode val="edge"/>
              <c:yMode val="edge"/>
              <c:x val="0.35361532570017112"/>
              <c:y val="0.92846192262575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24709680"/>
        <c:crosses val="autoZero"/>
        <c:auto val="1"/>
        <c:lblAlgn val="ctr"/>
        <c:lblOffset val="100"/>
        <c:noMultiLvlLbl val="0"/>
      </c:catAx>
      <c:valAx>
        <c:axId val="10247096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898106383"/>
        <c:crosses val="autoZero"/>
        <c:crossBetween val="between"/>
        <c:majorUnit val="2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60000"/>
        </a:prstClr>
      </a:outerShdw>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solidFill>
                  <a:schemeClr val="tx1">
                    <a:lumMod val="65000"/>
                    <a:lumOff val="35000"/>
                  </a:schemeClr>
                </a:solidFill>
              </a:rPr>
              <a:t>Avg Future Revenue by Support Sentiment</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84536307961505"/>
          <c:y val="0.17171296296296296"/>
          <c:w val="0.73626574803149603"/>
          <c:h val="0.77736111111111106"/>
        </c:manualLayout>
      </c:layout>
      <c:barChart>
        <c:barDir val="bar"/>
        <c:grouping val="clustered"/>
        <c:varyColors val="0"/>
        <c:ser>
          <c:idx val="0"/>
          <c:order val="0"/>
          <c:tx>
            <c:v>avg_future_revenue_per_customer</c:v>
          </c:tx>
          <c:spPr>
            <a:gradFill>
              <a:gsLst>
                <a:gs pos="0">
                  <a:schemeClr val="accent2"/>
                </a:gs>
                <a:gs pos="100000">
                  <a:schemeClr val="accent2">
                    <a:lumMod val="60000"/>
                    <a:lumOff val="40000"/>
                  </a:schemeClr>
                </a:gs>
              </a:gsLst>
              <a:lin ang="0" scaled="0"/>
            </a:gradFill>
            <a:ln>
              <a:noFill/>
            </a:ln>
            <a:effectLst/>
          </c:spPr>
          <c:invertIfNegative val="0"/>
          <c:dLbls>
            <c:dLbl>
              <c:idx val="0"/>
              <c:tx>
                <c:rich>
                  <a:bodyPr/>
                  <a:lstStyle/>
                  <a:p>
                    <a:fld id="{664582B8-9780-41F9-8113-86310A72C368}" type="CELLRANGE">
                      <a:rPr lang="en-US"/>
                      <a:pPr/>
                      <a:t>[CELLRANGE]</a:t>
                    </a:fld>
                    <a:endParaRPr lang="en-CA"/>
                  </a:p>
                </c:rich>
              </c:tx>
              <c:dLblPos val="outEnd"/>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3425-4174-8452-D55EEC989A09}"/>
                </c:ext>
              </c:extLst>
            </c:dLbl>
            <c:dLbl>
              <c:idx val="1"/>
              <c:tx>
                <c:rich>
                  <a:bodyPr/>
                  <a:lstStyle/>
                  <a:p>
                    <a:fld id="{609A488D-57A9-449C-8BCF-A265BCC86434}" type="CELLRANGE">
                      <a:rPr lang="en-CA"/>
                      <a:pPr/>
                      <a:t>[CELLRANGE]</a:t>
                    </a:fld>
                    <a:endParaRPr lang="en-CA"/>
                  </a:p>
                </c:rich>
              </c:tx>
              <c:dLblPos val="outEnd"/>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425-4174-8452-D55EEC989A09}"/>
                </c:ext>
              </c:extLst>
            </c:dLbl>
            <c:dLbl>
              <c:idx val="2"/>
              <c:tx>
                <c:rich>
                  <a:bodyPr/>
                  <a:lstStyle/>
                  <a:p>
                    <a:fld id="{2E3008CA-9417-45D6-9D49-DB114CE12FB5}" type="CELLRANGE">
                      <a:rPr lang="en-CA"/>
                      <a:pPr/>
                      <a:t>[CELLRANGE]</a:t>
                    </a:fld>
                    <a:endParaRPr lang="en-CA"/>
                  </a:p>
                </c:rich>
              </c:tx>
              <c:dLblPos val="outEnd"/>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425-4174-8452-D55EEC989A09}"/>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0"/>
              </c:ext>
            </c:extLst>
          </c:dLbls>
          <c:cat>
            <c:strRef>
              <c:f>'Support - Sentiment'!$A$2:$A$4</c:f>
              <c:strCache>
                <c:ptCount val="3"/>
                <c:pt idx="0">
                  <c:v>positive</c:v>
                </c:pt>
                <c:pt idx="1">
                  <c:v>neutral</c:v>
                </c:pt>
                <c:pt idx="2">
                  <c:v>negative</c:v>
                </c:pt>
              </c:strCache>
            </c:strRef>
          </c:cat>
          <c:val>
            <c:numRef>
              <c:f>'Support - Sentiment'!$E$2:$E$4</c:f>
              <c:numCache>
                <c:formatCode>General</c:formatCode>
                <c:ptCount val="3"/>
                <c:pt idx="0">
                  <c:v>17359.5</c:v>
                </c:pt>
                <c:pt idx="1">
                  <c:v>16172.24</c:v>
                </c:pt>
                <c:pt idx="2">
                  <c:v>18607.009999999998</c:v>
                </c:pt>
              </c:numCache>
            </c:numRef>
          </c:val>
          <c:extLst>
            <c:ext xmlns:c15="http://schemas.microsoft.com/office/drawing/2012/chart" uri="{02D57815-91ED-43cb-92C2-25804820EDAC}">
              <c15:datalabelsRange>
                <c15:f>'Support - Sentiment'!$G$2:$G$4</c15:f>
                <c15:dlblRangeCache>
                  <c:ptCount val="3"/>
                  <c:pt idx="0">
                    <c:v>$17,360
(Repeat Purchase Rate: 32.9%)</c:v>
                  </c:pt>
                  <c:pt idx="1">
                    <c:v>$16,172
(Repeat Purchase Rate: 31.3%)</c:v>
                  </c:pt>
                  <c:pt idx="2">
                    <c:v>$18,607
(Repeat Purchase Rate: 31.1%)</c:v>
                  </c:pt>
                </c15:dlblRangeCache>
              </c15:datalabelsRange>
            </c:ext>
            <c:ext xmlns:c16="http://schemas.microsoft.com/office/drawing/2014/chart" uri="{C3380CC4-5D6E-409C-BE32-E72D297353CC}">
              <c16:uniqueId val="{00000000-3425-4174-8452-D55EEC989A09}"/>
            </c:ext>
          </c:extLst>
        </c:ser>
        <c:dLbls>
          <c:dLblPos val="outEnd"/>
          <c:showLegendKey val="0"/>
          <c:showVal val="1"/>
          <c:showCatName val="0"/>
          <c:showSerName val="0"/>
          <c:showPercent val="0"/>
          <c:showBubbleSize val="0"/>
        </c:dLbls>
        <c:gapWidth val="182"/>
        <c:axId val="897914287"/>
        <c:axId val="1024605520"/>
      </c:barChart>
      <c:catAx>
        <c:axId val="89791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24605520"/>
        <c:crosses val="autoZero"/>
        <c:auto val="1"/>
        <c:lblAlgn val="ctr"/>
        <c:lblOffset val="100"/>
        <c:noMultiLvlLbl val="0"/>
      </c:catAx>
      <c:valAx>
        <c:axId val="10246055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897914287"/>
        <c:crosses val="autoZero"/>
        <c:crossBetween val="between"/>
        <c:majorUnit val="2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6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3</xdr:col>
      <xdr:colOff>1040870</xdr:colOff>
      <xdr:row>6</xdr:row>
      <xdr:rowOff>178592</xdr:rowOff>
    </xdr:from>
    <xdr:to>
      <xdr:col>6</xdr:col>
      <xdr:colOff>3514726</xdr:colOff>
      <xdr:row>13</xdr:row>
      <xdr:rowOff>133350</xdr:rowOff>
    </xdr:to>
    <xdr:graphicFrame macro="">
      <xdr:nvGraphicFramePr>
        <xdr:cNvPr id="2" name="Chart 1">
          <a:extLst>
            <a:ext uri="{FF2B5EF4-FFF2-40B4-BE49-F238E27FC236}">
              <a16:creationId xmlns:a16="http://schemas.microsoft.com/office/drawing/2014/main" id="{29414078-8A94-5182-57A4-ADA6C9F00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90486</xdr:colOff>
      <xdr:row>6</xdr:row>
      <xdr:rowOff>177800</xdr:rowOff>
    </xdr:from>
    <xdr:to>
      <xdr:col>9</xdr:col>
      <xdr:colOff>771525</xdr:colOff>
      <xdr:row>19</xdr:row>
      <xdr:rowOff>1763</xdr:rowOff>
    </xdr:to>
    <xdr:graphicFrame macro="">
      <xdr:nvGraphicFramePr>
        <xdr:cNvPr id="8" name="Chart 7">
          <a:extLst>
            <a:ext uri="{FF2B5EF4-FFF2-40B4-BE49-F238E27FC236}">
              <a16:creationId xmlns:a16="http://schemas.microsoft.com/office/drawing/2014/main" id="{2C72A0B6-193B-44BB-AA0A-72F5EA4BF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20</xdr:row>
      <xdr:rowOff>37042</xdr:rowOff>
    </xdr:from>
    <xdr:to>
      <xdr:col>7</xdr:col>
      <xdr:colOff>0</xdr:colOff>
      <xdr:row>23</xdr:row>
      <xdr:rowOff>15875</xdr:rowOff>
    </xdr:to>
    <xdr:sp macro="" textlink="">
      <xdr:nvSpPr>
        <xdr:cNvPr id="13" name="TextBox 12">
          <a:extLst>
            <a:ext uri="{FF2B5EF4-FFF2-40B4-BE49-F238E27FC236}">
              <a16:creationId xmlns:a16="http://schemas.microsoft.com/office/drawing/2014/main" id="{609DFA20-1610-40CF-930E-F2D554FAC7DC}"/>
            </a:ext>
          </a:extLst>
        </xdr:cNvPr>
        <xdr:cNvSpPr txBox="1"/>
      </xdr:nvSpPr>
      <xdr:spPr>
        <a:xfrm>
          <a:off x="9134475" y="5285317"/>
          <a:ext cx="0" cy="55033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bg1">
                  <a:lumMod val="50000"/>
                </a:schemeClr>
              </a:solidFill>
            </a:rPr>
            <a:t>7</a:t>
          </a:r>
          <a:r>
            <a:rPr lang="en-CA" sz="900" baseline="0">
              <a:solidFill>
                <a:schemeClr val="bg1">
                  <a:lumMod val="50000"/>
                </a:schemeClr>
              </a:solidFill>
            </a:rPr>
            <a:t> orders </a:t>
          </a:r>
        </a:p>
        <a:p>
          <a:r>
            <a:rPr lang="en-CA" sz="900" baseline="0">
              <a:solidFill>
                <a:schemeClr val="bg1">
                  <a:lumMod val="50000"/>
                </a:schemeClr>
              </a:solidFill>
            </a:rPr>
            <a:t>threshold</a:t>
          </a:r>
          <a:endParaRPr lang="en-CA" sz="900">
            <a:solidFill>
              <a:schemeClr val="bg1">
                <a:lumMod val="50000"/>
              </a:schemeClr>
            </a:solidFill>
          </a:endParaRPr>
        </a:p>
      </xdr:txBody>
    </xdr:sp>
    <xdr:clientData/>
  </xdr:twoCellAnchor>
  <xdr:twoCellAnchor editAs="absolute">
    <xdr:from>
      <xdr:col>3</xdr:col>
      <xdr:colOff>1047749</xdr:colOff>
      <xdr:row>0</xdr:row>
      <xdr:rowOff>114300</xdr:rowOff>
    </xdr:from>
    <xdr:to>
      <xdr:col>4</xdr:col>
      <xdr:colOff>1325879</xdr:colOff>
      <xdr:row>6</xdr:row>
      <xdr:rowOff>50292</xdr:rowOff>
    </xdr:to>
    <xdr:sp macro="" textlink="'Home Dashboard KPIs'!A5">
      <xdr:nvSpPr>
        <xdr:cNvPr id="17" name="Rectangle: Rounded Corners 16">
          <a:extLst>
            <a:ext uri="{FF2B5EF4-FFF2-40B4-BE49-F238E27FC236}">
              <a16:creationId xmlns:a16="http://schemas.microsoft.com/office/drawing/2014/main" id="{831746D5-3553-0659-9858-4D72D8496450}"/>
            </a:ext>
          </a:extLst>
        </xdr:cNvPr>
        <xdr:cNvSpPr/>
      </xdr:nvSpPr>
      <xdr:spPr>
        <a:xfrm>
          <a:off x="4124324" y="114300"/>
          <a:ext cx="2011680" cy="1078992"/>
        </a:xfrm>
        <a:prstGeom prst="roundRect">
          <a:avLst/>
        </a:prstGeom>
        <a:gradFill>
          <a:gsLst>
            <a:gs pos="47000">
              <a:schemeClr val="tx2">
                <a:lumMod val="50000"/>
                <a:lumOff val="50000"/>
              </a:schemeClr>
            </a:gs>
            <a:gs pos="100000">
              <a:schemeClr val="tx2">
                <a:lumMod val="75000"/>
                <a:lumOff val="25000"/>
              </a:schemeClr>
            </a:gs>
          </a:gsLst>
          <a:lin ang="5400000" scaled="1"/>
        </a:gradFill>
        <a:ln>
          <a:noFill/>
        </a:ln>
        <a:effectLst>
          <a:outerShdw blurRad="50800" dist="38100" dir="2700000" algn="tl" rotWithShape="0">
            <a:schemeClr val="tx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E54FFFA-E080-4EA2-96E5-D17DED95CD79}" type="TxLink">
            <a:rPr lang="en-US" sz="2400" b="1" i="0" u="none" strike="noStrike">
              <a:solidFill>
                <a:schemeClr val="bg1"/>
              </a:solidFill>
              <a:latin typeface="Aptos Narrow"/>
              <a:ea typeface="+mn-ea"/>
              <a:cs typeface="+mn-cs"/>
            </a:rPr>
            <a:pPr marL="0" indent="0" algn="ctr"/>
            <a:t> 47,835 </a:t>
          </a:fld>
          <a:endParaRPr lang="en-CA" sz="2400" b="1" i="0" u="none" strike="noStrike">
            <a:solidFill>
              <a:schemeClr val="bg1"/>
            </a:solidFill>
            <a:latin typeface="Aptos Narrow"/>
            <a:ea typeface="+mn-ea"/>
            <a:cs typeface="+mn-cs"/>
          </a:endParaRPr>
        </a:p>
      </xdr:txBody>
    </xdr:sp>
    <xdr:clientData/>
  </xdr:twoCellAnchor>
  <xdr:twoCellAnchor editAs="absolute">
    <xdr:from>
      <xdr:col>7</xdr:col>
      <xdr:colOff>1329266</xdr:colOff>
      <xdr:row>0</xdr:row>
      <xdr:rowOff>114300</xdr:rowOff>
    </xdr:from>
    <xdr:to>
      <xdr:col>9</xdr:col>
      <xdr:colOff>759671</xdr:colOff>
      <xdr:row>6</xdr:row>
      <xdr:rowOff>50292</xdr:rowOff>
    </xdr:to>
    <xdr:sp macro="" textlink="'Home Dashboard KPIs'!E5">
      <xdr:nvSpPr>
        <xdr:cNvPr id="23" name="Rectangle: Rounded Corners 22">
          <a:extLst>
            <a:ext uri="{FF2B5EF4-FFF2-40B4-BE49-F238E27FC236}">
              <a16:creationId xmlns:a16="http://schemas.microsoft.com/office/drawing/2014/main" id="{14D30074-C3B9-47EC-835A-52A06C983EB8}"/>
            </a:ext>
          </a:extLst>
        </xdr:cNvPr>
        <xdr:cNvSpPr/>
      </xdr:nvSpPr>
      <xdr:spPr>
        <a:xfrm>
          <a:off x="12616391" y="114300"/>
          <a:ext cx="2011680" cy="1078992"/>
        </a:xfrm>
        <a:prstGeom prst="roundRect">
          <a:avLst/>
        </a:prstGeom>
        <a:gradFill>
          <a:gsLst>
            <a:gs pos="47000">
              <a:schemeClr val="tx2">
                <a:lumMod val="50000"/>
                <a:lumOff val="50000"/>
              </a:schemeClr>
            </a:gs>
            <a:gs pos="100000">
              <a:schemeClr val="tx2">
                <a:lumMod val="75000"/>
                <a:lumOff val="25000"/>
              </a:schemeClr>
            </a:gs>
          </a:gsLst>
          <a:lin ang="5400000" scaled="1"/>
        </a:gradFill>
        <a:ln>
          <a:noFill/>
        </a:ln>
        <a:effectLst>
          <a:outerShdw blurRad="50800" dist="38100" dir="2700000" algn="tl" rotWithShape="0">
            <a:schemeClr val="tx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8387858-662F-4C5B-87E5-60DF3E56460B}" type="TxLink">
            <a:rPr lang="en-US" sz="2400" b="1" i="0" u="none" strike="noStrike">
              <a:solidFill>
                <a:schemeClr val="bg1"/>
              </a:solidFill>
              <a:latin typeface="Aptos Narrow"/>
            </a:rPr>
            <a:pPr algn="ctr"/>
            <a:t>$56,450</a:t>
          </a:fld>
          <a:endParaRPr lang="en-CA" sz="4800" b="1" i="0" u="none" strike="noStrike">
            <a:solidFill>
              <a:schemeClr val="bg1"/>
            </a:solidFill>
            <a:latin typeface="Aptos Narrow"/>
          </a:endParaRPr>
        </a:p>
      </xdr:txBody>
    </xdr:sp>
    <xdr:clientData/>
  </xdr:twoCellAnchor>
  <xdr:twoCellAnchor editAs="absolute">
    <xdr:from>
      <xdr:col>4</xdr:col>
      <xdr:colOff>1437216</xdr:colOff>
      <xdr:row>0</xdr:row>
      <xdr:rowOff>114300</xdr:rowOff>
    </xdr:from>
    <xdr:to>
      <xdr:col>6</xdr:col>
      <xdr:colOff>353271</xdr:colOff>
      <xdr:row>6</xdr:row>
      <xdr:rowOff>50292</xdr:rowOff>
    </xdr:to>
    <xdr:sp macro="" textlink="'Home Dashboard KPIs'!B5">
      <xdr:nvSpPr>
        <xdr:cNvPr id="24" name="Rectangle: Rounded Corners 23">
          <a:extLst>
            <a:ext uri="{FF2B5EF4-FFF2-40B4-BE49-F238E27FC236}">
              <a16:creationId xmlns:a16="http://schemas.microsoft.com/office/drawing/2014/main" id="{1EBD31DB-4274-EB9E-D363-C1B695164B30}"/>
            </a:ext>
          </a:extLst>
        </xdr:cNvPr>
        <xdr:cNvSpPr/>
      </xdr:nvSpPr>
      <xdr:spPr>
        <a:xfrm>
          <a:off x="6247341" y="114300"/>
          <a:ext cx="2011680" cy="1078992"/>
        </a:xfrm>
        <a:prstGeom prst="roundRect">
          <a:avLst/>
        </a:prstGeom>
        <a:gradFill>
          <a:gsLst>
            <a:gs pos="47000">
              <a:schemeClr val="tx2">
                <a:lumMod val="50000"/>
                <a:lumOff val="50000"/>
              </a:schemeClr>
            </a:gs>
            <a:gs pos="100000">
              <a:schemeClr val="tx2">
                <a:lumMod val="75000"/>
                <a:lumOff val="25000"/>
              </a:schemeClr>
            </a:gs>
          </a:gsLst>
          <a:lin ang="5400000" scaled="1"/>
        </a:gradFill>
        <a:ln>
          <a:noFill/>
        </a:ln>
        <a:effectLst>
          <a:outerShdw blurRad="50800" dist="38100" dir="2700000" algn="tl" rotWithShape="0">
            <a:schemeClr val="tx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D7A2C92-7A71-4A5E-A137-4C26139C8715}" type="TxLink">
            <a:rPr lang="en-US" sz="2400" b="1" i="0" u="none" strike="noStrike">
              <a:solidFill>
                <a:schemeClr val="bg1"/>
              </a:solidFill>
              <a:latin typeface="Aptos Narrow"/>
              <a:ea typeface="+mn-ea"/>
              <a:cs typeface="+mn-cs"/>
            </a:rPr>
            <a:pPr marL="0" indent="0" algn="ctr"/>
            <a:t> 15,051 </a:t>
          </a:fld>
          <a:endParaRPr lang="en-US" sz="2400" b="1" i="0" u="none" strike="noStrike">
            <a:solidFill>
              <a:schemeClr val="bg1"/>
            </a:solidFill>
            <a:latin typeface="Aptos Narrow"/>
            <a:ea typeface="+mn-ea"/>
            <a:cs typeface="+mn-cs"/>
          </a:endParaRPr>
        </a:p>
      </xdr:txBody>
    </xdr:sp>
    <xdr:clientData/>
  </xdr:twoCellAnchor>
  <xdr:twoCellAnchor editAs="absolute">
    <xdr:from>
      <xdr:col>6</xdr:col>
      <xdr:colOff>464608</xdr:colOff>
      <xdr:row>0</xdr:row>
      <xdr:rowOff>114300</xdr:rowOff>
    </xdr:from>
    <xdr:to>
      <xdr:col>6</xdr:col>
      <xdr:colOff>2476288</xdr:colOff>
      <xdr:row>6</xdr:row>
      <xdr:rowOff>50292</xdr:rowOff>
    </xdr:to>
    <xdr:sp macro="" textlink="'Home Dashboard KPIs'!C5">
      <xdr:nvSpPr>
        <xdr:cNvPr id="25" name="Rectangle: Rounded Corners 24">
          <a:extLst>
            <a:ext uri="{FF2B5EF4-FFF2-40B4-BE49-F238E27FC236}">
              <a16:creationId xmlns:a16="http://schemas.microsoft.com/office/drawing/2014/main" id="{C123B837-57B5-F7C5-BE1A-614B1D24E00B}"/>
            </a:ext>
          </a:extLst>
        </xdr:cNvPr>
        <xdr:cNvSpPr/>
      </xdr:nvSpPr>
      <xdr:spPr>
        <a:xfrm>
          <a:off x="8370358" y="114300"/>
          <a:ext cx="2011680" cy="1078992"/>
        </a:xfrm>
        <a:prstGeom prst="roundRect">
          <a:avLst/>
        </a:prstGeom>
        <a:gradFill>
          <a:gsLst>
            <a:gs pos="47000">
              <a:schemeClr val="tx2">
                <a:lumMod val="50000"/>
                <a:lumOff val="50000"/>
              </a:schemeClr>
            </a:gs>
            <a:gs pos="100000">
              <a:schemeClr val="tx2">
                <a:lumMod val="75000"/>
                <a:lumOff val="25000"/>
              </a:schemeClr>
            </a:gs>
          </a:gsLst>
          <a:lin ang="5400000" scaled="1"/>
        </a:gradFill>
        <a:ln>
          <a:noFill/>
        </a:ln>
        <a:effectLst>
          <a:outerShdw blurRad="50800" dist="38100" dir="2700000" algn="tl" rotWithShape="0">
            <a:schemeClr val="tx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3592A59-590C-4765-BB25-71FCFB18BAD0}" type="TxLink">
            <a:rPr lang="en-US" sz="2400" b="1" i="0" u="none" strike="noStrike">
              <a:solidFill>
                <a:schemeClr val="bg1"/>
              </a:solidFill>
              <a:latin typeface="Aptos Narrow"/>
            </a:rPr>
            <a:pPr algn="ctr"/>
            <a:t>31.5%</a:t>
          </a:fld>
          <a:endParaRPr lang="en-US" sz="4800" b="1" i="0" u="none" strike="noStrike">
            <a:solidFill>
              <a:schemeClr val="bg1"/>
            </a:solidFill>
            <a:latin typeface="Aptos Narrow"/>
          </a:endParaRPr>
        </a:p>
      </xdr:txBody>
    </xdr:sp>
    <xdr:clientData/>
  </xdr:twoCellAnchor>
  <xdr:twoCellAnchor editAs="absolute">
    <xdr:from>
      <xdr:col>6</xdr:col>
      <xdr:colOff>2587625</xdr:colOff>
      <xdr:row>0</xdr:row>
      <xdr:rowOff>114300</xdr:rowOff>
    </xdr:from>
    <xdr:to>
      <xdr:col>7</xdr:col>
      <xdr:colOff>1217930</xdr:colOff>
      <xdr:row>6</xdr:row>
      <xdr:rowOff>50292</xdr:rowOff>
    </xdr:to>
    <xdr:sp macro="" textlink="'Home Dashboard KPIs'!D5">
      <xdr:nvSpPr>
        <xdr:cNvPr id="26" name="Rectangle: Rounded Corners 25">
          <a:extLst>
            <a:ext uri="{FF2B5EF4-FFF2-40B4-BE49-F238E27FC236}">
              <a16:creationId xmlns:a16="http://schemas.microsoft.com/office/drawing/2014/main" id="{CFA08C33-251C-5550-D549-F8E553BEA905}"/>
            </a:ext>
          </a:extLst>
        </xdr:cNvPr>
        <xdr:cNvSpPr/>
      </xdr:nvSpPr>
      <xdr:spPr>
        <a:xfrm>
          <a:off x="10493375" y="114300"/>
          <a:ext cx="2011680" cy="1078992"/>
        </a:xfrm>
        <a:prstGeom prst="roundRect">
          <a:avLst/>
        </a:prstGeom>
        <a:gradFill>
          <a:gsLst>
            <a:gs pos="47000">
              <a:schemeClr val="tx2">
                <a:lumMod val="50000"/>
                <a:lumOff val="50000"/>
              </a:schemeClr>
            </a:gs>
            <a:gs pos="100000">
              <a:schemeClr val="tx2">
                <a:lumMod val="75000"/>
                <a:lumOff val="25000"/>
              </a:schemeClr>
            </a:gs>
          </a:gsLst>
          <a:lin ang="5400000" scaled="1"/>
        </a:gradFill>
        <a:ln>
          <a:noFill/>
        </a:ln>
        <a:effectLst>
          <a:outerShdw blurRad="50800" dist="38100" dir="2700000" algn="tl" rotWithShape="0">
            <a:schemeClr val="tx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064AC4C-9514-4141-B020-EDA5D31F7651}" type="TxLink">
            <a:rPr lang="en-US" sz="2400" b="1" i="0" u="none" strike="noStrike">
              <a:solidFill>
                <a:schemeClr val="bg1"/>
              </a:solidFill>
              <a:latin typeface="Aptos Narrow"/>
            </a:rPr>
            <a:pPr algn="ctr"/>
            <a:t>$16,440</a:t>
          </a:fld>
          <a:endParaRPr lang="en-CA" sz="8800" b="1" i="0" u="none" strike="noStrike">
            <a:solidFill>
              <a:schemeClr val="bg1"/>
            </a:solidFill>
            <a:latin typeface="Aptos Narrow"/>
          </a:endParaRPr>
        </a:p>
      </xdr:txBody>
    </xdr:sp>
    <xdr:clientData/>
  </xdr:twoCellAnchor>
  <xdr:twoCellAnchor editAs="absolute">
    <xdr:from>
      <xdr:col>7</xdr:col>
      <xdr:colOff>1323974</xdr:colOff>
      <xdr:row>0</xdr:row>
      <xdr:rowOff>104775</xdr:rowOff>
    </xdr:from>
    <xdr:to>
      <xdr:col>9</xdr:col>
      <xdr:colOff>752474</xdr:colOff>
      <xdr:row>4</xdr:row>
      <xdr:rowOff>95249</xdr:rowOff>
    </xdr:to>
    <xdr:sp macro="" textlink="">
      <xdr:nvSpPr>
        <xdr:cNvPr id="27" name="TextBox 26">
          <a:extLst>
            <a:ext uri="{FF2B5EF4-FFF2-40B4-BE49-F238E27FC236}">
              <a16:creationId xmlns:a16="http://schemas.microsoft.com/office/drawing/2014/main" id="{ACB0F142-76B2-457A-9415-5E48C5BB9BFB}"/>
            </a:ext>
          </a:extLst>
        </xdr:cNvPr>
        <xdr:cNvSpPr txBox="1"/>
      </xdr:nvSpPr>
      <xdr:spPr>
        <a:xfrm>
          <a:off x="12611099" y="104775"/>
          <a:ext cx="2009775" cy="752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a:solidFill>
                <a:schemeClr val="bg1"/>
              </a:solidFill>
            </a:rPr>
            <a:t>Avg Future Revenue Per Returning Customer</a:t>
          </a:r>
        </a:p>
        <a:p>
          <a:pPr algn="ctr"/>
          <a:endParaRPr lang="en-CA" sz="1200">
            <a:solidFill>
              <a:schemeClr val="bg1"/>
            </a:solidFill>
          </a:endParaRPr>
        </a:p>
      </xdr:txBody>
    </xdr:sp>
    <xdr:clientData/>
  </xdr:twoCellAnchor>
  <xdr:twoCellAnchor editAs="absolute">
    <xdr:from>
      <xdr:col>6</xdr:col>
      <xdr:colOff>2590800</xdr:colOff>
      <xdr:row>0</xdr:row>
      <xdr:rowOff>114301</xdr:rowOff>
    </xdr:from>
    <xdr:to>
      <xdr:col>7</xdr:col>
      <xdr:colOff>1209675</xdr:colOff>
      <xdr:row>3</xdr:row>
      <xdr:rowOff>180975</xdr:rowOff>
    </xdr:to>
    <xdr:sp macro="" textlink="">
      <xdr:nvSpPr>
        <xdr:cNvPr id="28" name="TextBox 27">
          <a:extLst>
            <a:ext uri="{FF2B5EF4-FFF2-40B4-BE49-F238E27FC236}">
              <a16:creationId xmlns:a16="http://schemas.microsoft.com/office/drawing/2014/main" id="{2D5C02D4-399C-4C08-8C9D-4DCF00652096}"/>
            </a:ext>
          </a:extLst>
        </xdr:cNvPr>
        <xdr:cNvSpPr txBox="1"/>
      </xdr:nvSpPr>
      <xdr:spPr>
        <a:xfrm>
          <a:off x="10496550" y="114301"/>
          <a:ext cx="2000250" cy="63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a:solidFill>
                <a:schemeClr val="bg1"/>
              </a:solidFill>
            </a:rPr>
            <a:t>Avg Future Revenue Per Customer</a:t>
          </a:r>
        </a:p>
        <a:p>
          <a:pPr algn="ctr"/>
          <a:endParaRPr lang="en-CA" sz="1200">
            <a:solidFill>
              <a:schemeClr val="bg1"/>
            </a:solidFill>
          </a:endParaRPr>
        </a:p>
      </xdr:txBody>
    </xdr:sp>
    <xdr:clientData/>
  </xdr:twoCellAnchor>
  <xdr:twoCellAnchor editAs="absolute">
    <xdr:from>
      <xdr:col>6</xdr:col>
      <xdr:colOff>466725</xdr:colOff>
      <xdr:row>0</xdr:row>
      <xdr:rowOff>114301</xdr:rowOff>
    </xdr:from>
    <xdr:to>
      <xdr:col>6</xdr:col>
      <xdr:colOff>2466975</xdr:colOff>
      <xdr:row>3</xdr:row>
      <xdr:rowOff>150019</xdr:rowOff>
    </xdr:to>
    <xdr:sp macro="" textlink="">
      <xdr:nvSpPr>
        <xdr:cNvPr id="29" name="TextBox 28">
          <a:extLst>
            <a:ext uri="{FF2B5EF4-FFF2-40B4-BE49-F238E27FC236}">
              <a16:creationId xmlns:a16="http://schemas.microsoft.com/office/drawing/2014/main" id="{2BC3F773-BFC6-4B07-853E-192476F36D3E}"/>
            </a:ext>
          </a:extLst>
        </xdr:cNvPr>
        <xdr:cNvSpPr txBox="1"/>
      </xdr:nvSpPr>
      <xdr:spPr>
        <a:xfrm>
          <a:off x="8372475" y="114301"/>
          <a:ext cx="2000250" cy="607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a:solidFill>
                <a:schemeClr val="bg1"/>
              </a:solidFill>
            </a:rPr>
            <a:t>Returning </a:t>
          </a:r>
          <a:r>
            <a:rPr lang="en-CA" sz="1200">
              <a:solidFill>
                <a:schemeClr val="bg1"/>
              </a:solidFill>
              <a:effectLst/>
              <a:latin typeface="+mn-lt"/>
              <a:ea typeface="+mn-ea"/>
              <a:cs typeface="+mn-cs"/>
            </a:rPr>
            <a:t>Customer </a:t>
          </a:r>
          <a:r>
            <a:rPr lang="en-CA" sz="1200">
              <a:solidFill>
                <a:schemeClr val="bg1"/>
              </a:solidFill>
            </a:rPr>
            <a:t>Rate</a:t>
          </a:r>
          <a:r>
            <a:rPr lang="en-CA" sz="1200" baseline="0">
              <a:solidFill>
                <a:schemeClr val="bg1"/>
              </a:solidFill>
            </a:rPr>
            <a:t> </a:t>
          </a:r>
          <a:endParaRPr lang="en-CA" sz="1200">
            <a:solidFill>
              <a:schemeClr val="bg1"/>
            </a:solidFill>
          </a:endParaRPr>
        </a:p>
        <a:p>
          <a:pPr algn="ctr"/>
          <a:endParaRPr lang="en-CA" sz="1200">
            <a:solidFill>
              <a:schemeClr val="bg1"/>
            </a:solidFill>
          </a:endParaRPr>
        </a:p>
      </xdr:txBody>
    </xdr:sp>
    <xdr:clientData/>
  </xdr:twoCellAnchor>
  <xdr:twoCellAnchor editAs="absolute">
    <xdr:from>
      <xdr:col>4</xdr:col>
      <xdr:colOff>1428750</xdr:colOff>
      <xdr:row>0</xdr:row>
      <xdr:rowOff>114300</xdr:rowOff>
    </xdr:from>
    <xdr:to>
      <xdr:col>6</xdr:col>
      <xdr:colOff>342900</xdr:colOff>
      <xdr:row>4</xdr:row>
      <xdr:rowOff>97632</xdr:rowOff>
    </xdr:to>
    <xdr:sp macro="" textlink="">
      <xdr:nvSpPr>
        <xdr:cNvPr id="30" name="TextBox 29">
          <a:extLst>
            <a:ext uri="{FF2B5EF4-FFF2-40B4-BE49-F238E27FC236}">
              <a16:creationId xmlns:a16="http://schemas.microsoft.com/office/drawing/2014/main" id="{FCA384A2-71D5-4AE3-886E-B9ECE0DF3201}"/>
            </a:ext>
          </a:extLst>
        </xdr:cNvPr>
        <xdr:cNvSpPr txBox="1"/>
      </xdr:nvSpPr>
      <xdr:spPr>
        <a:xfrm>
          <a:off x="6238875" y="114300"/>
          <a:ext cx="2009775" cy="74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a:solidFill>
                <a:schemeClr val="bg1"/>
              </a:solidFill>
            </a:rPr>
            <a:t>No. of Returning Customers </a:t>
          </a:r>
          <a:r>
            <a:rPr lang="en-CA" sz="1050">
              <a:solidFill>
                <a:schemeClr val="bg1"/>
              </a:solidFill>
            </a:rPr>
            <a:t>(after cutoff date)</a:t>
          </a:r>
          <a:endParaRPr lang="en-CA" sz="1200">
            <a:solidFill>
              <a:schemeClr val="bg1"/>
            </a:solidFill>
          </a:endParaRPr>
        </a:p>
      </xdr:txBody>
    </xdr:sp>
    <xdr:clientData/>
  </xdr:twoCellAnchor>
  <xdr:twoCellAnchor editAs="absolute">
    <xdr:from>
      <xdr:col>3</xdr:col>
      <xdr:colOff>1047750</xdr:colOff>
      <xdr:row>0</xdr:row>
      <xdr:rowOff>114300</xdr:rowOff>
    </xdr:from>
    <xdr:to>
      <xdr:col>4</xdr:col>
      <xdr:colOff>1323975</xdr:colOff>
      <xdr:row>3</xdr:row>
      <xdr:rowOff>171449</xdr:rowOff>
    </xdr:to>
    <xdr:sp macro="" textlink="">
      <xdr:nvSpPr>
        <xdr:cNvPr id="31" name="TextBox 30">
          <a:extLst>
            <a:ext uri="{FF2B5EF4-FFF2-40B4-BE49-F238E27FC236}">
              <a16:creationId xmlns:a16="http://schemas.microsoft.com/office/drawing/2014/main" id="{D9CF62E6-13F1-4344-9C9D-5C3174BF78F6}"/>
            </a:ext>
          </a:extLst>
        </xdr:cNvPr>
        <xdr:cNvSpPr txBox="1"/>
      </xdr:nvSpPr>
      <xdr:spPr>
        <a:xfrm>
          <a:off x="4124325" y="114300"/>
          <a:ext cx="2009775" cy="628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a:solidFill>
                <a:schemeClr val="bg1"/>
              </a:solidFill>
            </a:rPr>
            <a:t>Historical Customers Analyzed</a:t>
          </a:r>
        </a:p>
      </xdr:txBody>
    </xdr:sp>
    <xdr:clientData/>
  </xdr:twoCellAnchor>
  <xdr:twoCellAnchor editAs="absolute">
    <xdr:from>
      <xdr:col>0</xdr:col>
      <xdr:colOff>111920</xdr:colOff>
      <xdr:row>0</xdr:row>
      <xdr:rowOff>114301</xdr:rowOff>
    </xdr:from>
    <xdr:to>
      <xdr:col>3</xdr:col>
      <xdr:colOff>923924</xdr:colOff>
      <xdr:row>3</xdr:row>
      <xdr:rowOff>90488</xdr:rowOff>
    </xdr:to>
    <xdr:sp macro="" textlink="">
      <xdr:nvSpPr>
        <xdr:cNvPr id="33" name="TextBox 32">
          <a:extLst>
            <a:ext uri="{FF2B5EF4-FFF2-40B4-BE49-F238E27FC236}">
              <a16:creationId xmlns:a16="http://schemas.microsoft.com/office/drawing/2014/main" id="{46E0F4A2-DB7C-405E-99BF-F8E28531E668}"/>
            </a:ext>
          </a:extLst>
        </xdr:cNvPr>
        <xdr:cNvSpPr txBox="1"/>
      </xdr:nvSpPr>
      <xdr:spPr>
        <a:xfrm>
          <a:off x="111920" y="114301"/>
          <a:ext cx="3888579" cy="547687"/>
        </a:xfrm>
        <a:prstGeom prst="roundRect">
          <a:avLst/>
        </a:prstGeom>
        <a:solidFill>
          <a:schemeClr val="lt1"/>
        </a:solidFill>
        <a:ln w="9525" cmpd="sng">
          <a:noFill/>
        </a:ln>
        <a:effectLst>
          <a:outerShdw blurRad="50800" dist="38100" dir="2700000" algn="tl" rotWithShape="0">
            <a:schemeClr val="tx1">
              <a:alpha val="6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2800" b="1">
              <a:latin typeface="+mn-lt"/>
            </a:rPr>
            <a:t>Home Dashboard </a:t>
          </a:r>
        </a:p>
      </xdr:txBody>
    </xdr:sp>
    <xdr:clientData/>
  </xdr:twoCellAnchor>
  <xdr:twoCellAnchor editAs="absolute">
    <xdr:from>
      <xdr:col>0</xdr:col>
      <xdr:colOff>111922</xdr:colOff>
      <xdr:row>4</xdr:row>
      <xdr:rowOff>28575</xdr:rowOff>
    </xdr:from>
    <xdr:to>
      <xdr:col>3</xdr:col>
      <xdr:colOff>930691</xdr:colOff>
      <xdr:row>8</xdr:row>
      <xdr:rowOff>66675</xdr:rowOff>
    </xdr:to>
    <xdr:sp macro="" textlink="">
      <xdr:nvSpPr>
        <xdr:cNvPr id="34" name="TextBox 33">
          <a:extLst>
            <a:ext uri="{FF2B5EF4-FFF2-40B4-BE49-F238E27FC236}">
              <a16:creationId xmlns:a16="http://schemas.microsoft.com/office/drawing/2014/main" id="{6425D0F4-DB6D-4278-8132-E04D2BFE55E6}"/>
            </a:ext>
          </a:extLst>
        </xdr:cNvPr>
        <xdr:cNvSpPr txBox="1"/>
      </xdr:nvSpPr>
      <xdr:spPr>
        <a:xfrm>
          <a:off x="111922" y="790575"/>
          <a:ext cx="3895344" cy="1219200"/>
        </a:xfrm>
        <a:prstGeom prst="roundRect">
          <a:avLst/>
        </a:prstGeom>
        <a:solidFill>
          <a:schemeClr val="lt1"/>
        </a:solidFill>
        <a:ln w="9525" cmpd="sng">
          <a:noFill/>
        </a:ln>
        <a:effectLst>
          <a:outerShdw blurRad="50800" dist="38100" dir="2700000" algn="tl" rotWithShape="0">
            <a:schemeClr val="tx1">
              <a:alpha val="60000"/>
            </a:scheme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1" i="0">
              <a:solidFill>
                <a:schemeClr val="dk1"/>
              </a:solidFill>
              <a:effectLst/>
              <a:latin typeface="+mn-lt"/>
              <a:ea typeface="+mn-ea"/>
              <a:cs typeface="+mn-cs"/>
            </a:rPr>
            <a:t>  </a:t>
          </a:r>
          <a:r>
            <a:rPr lang="en-US" sz="1100" b="1" i="0" u="sng">
              <a:solidFill>
                <a:schemeClr val="dk1"/>
              </a:solidFill>
              <a:effectLst/>
              <a:latin typeface="+mn-lt"/>
              <a:ea typeface="+mn-ea"/>
              <a:cs typeface="+mn-cs"/>
            </a:rPr>
            <a:t>Analysis Framework</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Cutoff Date: </a:t>
          </a:r>
          <a:r>
            <a:rPr lang="en-US" sz="900" b="0" i="0">
              <a:solidFill>
                <a:schemeClr val="dk1"/>
              </a:solidFill>
              <a:effectLst/>
              <a:latin typeface="+mn-lt"/>
              <a:ea typeface="+mn-ea"/>
              <a:cs typeface="+mn-cs"/>
            </a:rPr>
            <a:t>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Historical (Behavior) Period: </a:t>
          </a:r>
          <a:r>
            <a:rPr lang="en-US" sz="900" b="0" i="0">
              <a:solidFill>
                <a:schemeClr val="dk1"/>
              </a:solidFill>
              <a:effectLst/>
              <a:latin typeface="+mn-lt"/>
              <a:ea typeface="+mn-ea"/>
              <a:cs typeface="+mn-cs"/>
            </a:rPr>
            <a:t>Before 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Future (Outcome) Period: </a:t>
          </a:r>
          <a:r>
            <a:rPr lang="en-US" sz="900" b="0" i="0">
              <a:solidFill>
                <a:schemeClr val="dk1"/>
              </a:solidFill>
              <a:effectLst/>
              <a:latin typeface="+mn-lt"/>
              <a:ea typeface="+mn-ea"/>
              <a:cs typeface="+mn-cs"/>
            </a:rPr>
            <a:t>Dec 1st, 2025 onward</a:t>
          </a:r>
        </a:p>
      </xdr:txBody>
    </xdr:sp>
    <xdr:clientData/>
  </xdr:twoCellAnchor>
  <xdr:twoCellAnchor editAs="absolute">
    <xdr:from>
      <xdr:col>1</xdr:col>
      <xdr:colOff>1</xdr:colOff>
      <xdr:row>8</xdr:row>
      <xdr:rowOff>190500</xdr:rowOff>
    </xdr:from>
    <xdr:to>
      <xdr:col>3</xdr:col>
      <xdr:colOff>942976</xdr:colOff>
      <xdr:row>13</xdr:row>
      <xdr:rowOff>133349</xdr:rowOff>
    </xdr:to>
    <xdr:sp macro="" textlink="">
      <xdr:nvSpPr>
        <xdr:cNvPr id="37" name="TextBox 36">
          <a:extLst>
            <a:ext uri="{FF2B5EF4-FFF2-40B4-BE49-F238E27FC236}">
              <a16:creationId xmlns:a16="http://schemas.microsoft.com/office/drawing/2014/main" id="{8B1F11C0-6494-DE3E-4F54-F85AE399EAB7}"/>
            </a:ext>
          </a:extLst>
        </xdr:cNvPr>
        <xdr:cNvSpPr txBox="1"/>
      </xdr:nvSpPr>
      <xdr:spPr>
        <a:xfrm>
          <a:off x="114301" y="2133600"/>
          <a:ext cx="3771900" cy="3143249"/>
        </a:xfrm>
        <a:prstGeom prst="rect">
          <a:avLst/>
        </a:prstGeom>
        <a:solidFill>
          <a:schemeClr val="tx2">
            <a:lumMod val="75000"/>
            <a:lumOff val="25000"/>
          </a:schemeClr>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a:p>
        <a:p>
          <a:endParaRPr lang="en-CA" sz="1100"/>
        </a:p>
      </xdr:txBody>
    </xdr:sp>
    <xdr:clientData/>
  </xdr:twoCellAnchor>
  <xdr:twoCellAnchor editAs="absolute">
    <xdr:from>
      <xdr:col>1</xdr:col>
      <xdr:colOff>39291</xdr:colOff>
      <xdr:row>8</xdr:row>
      <xdr:rowOff>304800</xdr:rowOff>
    </xdr:from>
    <xdr:to>
      <xdr:col>1</xdr:col>
      <xdr:colOff>811389</xdr:colOff>
      <xdr:row>8</xdr:row>
      <xdr:rowOff>876300</xdr:rowOff>
    </xdr:to>
    <xdr:sp macro="" textlink="">
      <xdr:nvSpPr>
        <xdr:cNvPr id="39" name="TextBox 38">
          <a:extLst>
            <a:ext uri="{FF2B5EF4-FFF2-40B4-BE49-F238E27FC236}">
              <a16:creationId xmlns:a16="http://schemas.microsoft.com/office/drawing/2014/main" id="{EF7B7ECF-E38A-4415-A81E-A13DDD05C3EE}"/>
            </a:ext>
          </a:extLst>
        </xdr:cNvPr>
        <xdr:cNvSpPr txBox="1"/>
      </xdr:nvSpPr>
      <xdr:spPr>
        <a:xfrm>
          <a:off x="159235" y="2245078"/>
          <a:ext cx="772098"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100" b="1">
              <a:solidFill>
                <a:schemeClr val="bg1"/>
              </a:solidFill>
            </a:rPr>
            <a:t>Customer Segement </a:t>
          </a:r>
        </a:p>
      </xdr:txBody>
    </xdr:sp>
    <xdr:clientData/>
  </xdr:twoCellAnchor>
  <xdr:twoCellAnchor editAs="absolute">
    <xdr:from>
      <xdr:col>1</xdr:col>
      <xdr:colOff>684214</xdr:colOff>
      <xdr:row>8</xdr:row>
      <xdr:rowOff>254000</xdr:rowOff>
    </xdr:from>
    <xdr:to>
      <xdr:col>1</xdr:col>
      <xdr:colOff>1778001</xdr:colOff>
      <xdr:row>8</xdr:row>
      <xdr:rowOff>876300</xdr:rowOff>
    </xdr:to>
    <xdr:sp macro="" textlink="">
      <xdr:nvSpPr>
        <xdr:cNvPr id="40" name="TextBox 39">
          <a:extLst>
            <a:ext uri="{FF2B5EF4-FFF2-40B4-BE49-F238E27FC236}">
              <a16:creationId xmlns:a16="http://schemas.microsoft.com/office/drawing/2014/main" id="{1082A650-1F5E-4B5B-81A2-E5C7DDCAF3E3}"/>
            </a:ext>
          </a:extLst>
        </xdr:cNvPr>
        <xdr:cNvSpPr txBox="1"/>
      </xdr:nvSpPr>
      <xdr:spPr>
        <a:xfrm>
          <a:off x="808039" y="2197100"/>
          <a:ext cx="1093787"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100" b="1">
              <a:solidFill>
                <a:schemeClr val="bg1"/>
              </a:solidFill>
            </a:rPr>
            <a:t>No. of Historical Orders </a:t>
          </a:r>
        </a:p>
      </xdr:txBody>
    </xdr:sp>
    <xdr:clientData/>
  </xdr:twoCellAnchor>
  <xdr:twoCellAnchor editAs="absolute">
    <xdr:from>
      <xdr:col>1</xdr:col>
      <xdr:colOff>1547814</xdr:colOff>
      <xdr:row>8</xdr:row>
      <xdr:rowOff>234950</xdr:rowOff>
    </xdr:from>
    <xdr:to>
      <xdr:col>2</xdr:col>
      <xdr:colOff>1038225</xdr:colOff>
      <xdr:row>9</xdr:row>
      <xdr:rowOff>82550</xdr:rowOff>
    </xdr:to>
    <xdr:sp macro="" textlink="">
      <xdr:nvSpPr>
        <xdr:cNvPr id="41" name="TextBox 40">
          <a:extLst>
            <a:ext uri="{FF2B5EF4-FFF2-40B4-BE49-F238E27FC236}">
              <a16:creationId xmlns:a16="http://schemas.microsoft.com/office/drawing/2014/main" id="{F1E26B70-53EC-43AE-9386-6AF7ECC98C62}"/>
            </a:ext>
          </a:extLst>
        </xdr:cNvPr>
        <xdr:cNvSpPr txBox="1"/>
      </xdr:nvSpPr>
      <xdr:spPr>
        <a:xfrm>
          <a:off x="1667758" y="2175228"/>
          <a:ext cx="1303689" cy="807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100" b="1">
              <a:solidFill>
                <a:schemeClr val="bg1"/>
              </a:solidFill>
            </a:rPr>
            <a:t>Days Between Last Historical Order and Cutoff Date</a:t>
          </a:r>
        </a:p>
      </xdr:txBody>
    </xdr:sp>
    <xdr:clientData/>
  </xdr:twoCellAnchor>
  <xdr:twoCellAnchor editAs="absolute">
    <xdr:from>
      <xdr:col>1</xdr:col>
      <xdr:colOff>21233</xdr:colOff>
      <xdr:row>9</xdr:row>
      <xdr:rowOff>226219</xdr:rowOff>
    </xdr:from>
    <xdr:to>
      <xdr:col>1</xdr:col>
      <xdr:colOff>848717</xdr:colOff>
      <xdr:row>10</xdr:row>
      <xdr:rowOff>85725</xdr:rowOff>
    </xdr:to>
    <xdr:sp macro="" textlink="">
      <xdr:nvSpPr>
        <xdr:cNvPr id="42" name="TextBox 41">
          <a:extLst>
            <a:ext uri="{FF2B5EF4-FFF2-40B4-BE49-F238E27FC236}">
              <a16:creationId xmlns:a16="http://schemas.microsoft.com/office/drawing/2014/main" id="{2353C582-4DD4-4FDE-ACE4-7C35FD651E05}"/>
            </a:ext>
          </a:extLst>
        </xdr:cNvPr>
        <xdr:cNvSpPr txBox="1"/>
      </xdr:nvSpPr>
      <xdr:spPr>
        <a:xfrm>
          <a:off x="135533" y="3121819"/>
          <a:ext cx="827484"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Loyal &amp; Active</a:t>
          </a:r>
        </a:p>
      </xdr:txBody>
    </xdr:sp>
    <xdr:clientData/>
  </xdr:twoCellAnchor>
  <xdr:twoCellAnchor editAs="absolute">
    <xdr:from>
      <xdr:col>1</xdr:col>
      <xdr:colOff>25401</xdr:colOff>
      <xdr:row>11</xdr:row>
      <xdr:rowOff>311149</xdr:rowOff>
    </xdr:from>
    <xdr:to>
      <xdr:col>1</xdr:col>
      <xdr:colOff>844550</xdr:colOff>
      <xdr:row>13</xdr:row>
      <xdr:rowOff>120649</xdr:rowOff>
    </xdr:to>
    <xdr:sp macro="" textlink="">
      <xdr:nvSpPr>
        <xdr:cNvPr id="43" name="TextBox 42">
          <a:extLst>
            <a:ext uri="{FF2B5EF4-FFF2-40B4-BE49-F238E27FC236}">
              <a16:creationId xmlns:a16="http://schemas.microsoft.com/office/drawing/2014/main" id="{242AD155-FE51-4F99-B14F-36FFA200DD01}"/>
            </a:ext>
          </a:extLst>
        </xdr:cNvPr>
        <xdr:cNvSpPr txBox="1"/>
      </xdr:nvSpPr>
      <xdr:spPr>
        <a:xfrm>
          <a:off x="139701" y="4645024"/>
          <a:ext cx="819149"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Low Engagement / Lapsed</a:t>
          </a:r>
        </a:p>
      </xdr:txBody>
    </xdr:sp>
    <xdr:clientData/>
  </xdr:twoCellAnchor>
  <xdr:twoCellAnchor>
    <xdr:from>
      <xdr:col>1</xdr:col>
      <xdr:colOff>62905</xdr:colOff>
      <xdr:row>10</xdr:row>
      <xdr:rowOff>834232</xdr:rowOff>
    </xdr:from>
    <xdr:to>
      <xdr:col>1</xdr:col>
      <xdr:colOff>807046</xdr:colOff>
      <xdr:row>11</xdr:row>
      <xdr:rowOff>193675</xdr:rowOff>
    </xdr:to>
    <xdr:sp macro="" textlink="">
      <xdr:nvSpPr>
        <xdr:cNvPr id="44" name="TextBox 43">
          <a:extLst>
            <a:ext uri="{FF2B5EF4-FFF2-40B4-BE49-F238E27FC236}">
              <a16:creationId xmlns:a16="http://schemas.microsoft.com/office/drawing/2014/main" id="{C4EBC78F-1B59-4909-A99B-7668D39C2A31}"/>
            </a:ext>
          </a:extLst>
        </xdr:cNvPr>
        <xdr:cNvSpPr txBox="1"/>
      </xdr:nvSpPr>
      <xdr:spPr>
        <a:xfrm>
          <a:off x="177205" y="4215607"/>
          <a:ext cx="744141" cy="311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Developing</a:t>
          </a:r>
        </a:p>
      </xdr:txBody>
    </xdr:sp>
    <xdr:clientData/>
  </xdr:twoCellAnchor>
  <xdr:twoCellAnchor editAs="absolute">
    <xdr:from>
      <xdr:col>1</xdr:col>
      <xdr:colOff>124818</xdr:colOff>
      <xdr:row>10</xdr:row>
      <xdr:rowOff>230189</xdr:rowOff>
    </xdr:from>
    <xdr:to>
      <xdr:col>1</xdr:col>
      <xdr:colOff>745133</xdr:colOff>
      <xdr:row>10</xdr:row>
      <xdr:rowOff>692151</xdr:rowOff>
    </xdr:to>
    <xdr:sp macro="" textlink="">
      <xdr:nvSpPr>
        <xdr:cNvPr id="45" name="TextBox 44">
          <a:extLst>
            <a:ext uri="{FF2B5EF4-FFF2-40B4-BE49-F238E27FC236}">
              <a16:creationId xmlns:a16="http://schemas.microsoft.com/office/drawing/2014/main" id="{BDCD82B4-D0B1-437E-9D5E-E3000816F7A4}"/>
            </a:ext>
          </a:extLst>
        </xdr:cNvPr>
        <xdr:cNvSpPr txBox="1"/>
      </xdr:nvSpPr>
      <xdr:spPr>
        <a:xfrm>
          <a:off x="239118" y="3611564"/>
          <a:ext cx="620315" cy="461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Loyal but Cooling</a:t>
          </a:r>
        </a:p>
      </xdr:txBody>
    </xdr:sp>
    <xdr:clientData/>
  </xdr:twoCellAnchor>
  <xdr:twoCellAnchor editAs="absolute">
    <xdr:from>
      <xdr:col>1</xdr:col>
      <xdr:colOff>1025525</xdr:colOff>
      <xdr:row>9</xdr:row>
      <xdr:rowOff>250825</xdr:rowOff>
    </xdr:from>
    <xdr:to>
      <xdr:col>1</xdr:col>
      <xdr:colOff>1454152</xdr:colOff>
      <xdr:row>10</xdr:row>
      <xdr:rowOff>104775</xdr:rowOff>
    </xdr:to>
    <xdr:sp macro="" textlink="">
      <xdr:nvSpPr>
        <xdr:cNvPr id="46" name="TextBox 45">
          <a:extLst>
            <a:ext uri="{FF2B5EF4-FFF2-40B4-BE49-F238E27FC236}">
              <a16:creationId xmlns:a16="http://schemas.microsoft.com/office/drawing/2014/main" id="{5F2226D2-3B84-47E9-8C81-E1A22FB02181}"/>
            </a:ext>
          </a:extLst>
        </xdr:cNvPr>
        <xdr:cNvSpPr txBox="1"/>
      </xdr:nvSpPr>
      <xdr:spPr>
        <a:xfrm>
          <a:off x="1139825" y="3146425"/>
          <a:ext cx="381002" cy="339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7+</a:t>
          </a:r>
        </a:p>
      </xdr:txBody>
    </xdr:sp>
    <xdr:clientData/>
  </xdr:twoCellAnchor>
  <xdr:twoCellAnchor editAs="absolute">
    <xdr:from>
      <xdr:col>1</xdr:col>
      <xdr:colOff>1082675</xdr:colOff>
      <xdr:row>10</xdr:row>
      <xdr:rowOff>320675</xdr:rowOff>
    </xdr:from>
    <xdr:to>
      <xdr:col>1</xdr:col>
      <xdr:colOff>1397002</xdr:colOff>
      <xdr:row>10</xdr:row>
      <xdr:rowOff>647700</xdr:rowOff>
    </xdr:to>
    <xdr:sp macro="" textlink="">
      <xdr:nvSpPr>
        <xdr:cNvPr id="47" name="TextBox 46">
          <a:extLst>
            <a:ext uri="{FF2B5EF4-FFF2-40B4-BE49-F238E27FC236}">
              <a16:creationId xmlns:a16="http://schemas.microsoft.com/office/drawing/2014/main" id="{F70CFC03-B0F7-4FCD-A9C8-EAF6B8FBC888}"/>
            </a:ext>
          </a:extLst>
        </xdr:cNvPr>
        <xdr:cNvSpPr txBox="1"/>
      </xdr:nvSpPr>
      <xdr:spPr>
        <a:xfrm>
          <a:off x="1196975" y="3702050"/>
          <a:ext cx="266702" cy="32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7+</a:t>
          </a:r>
        </a:p>
      </xdr:txBody>
    </xdr:sp>
    <xdr:clientData/>
  </xdr:twoCellAnchor>
  <xdr:twoCellAnchor editAs="absolute">
    <xdr:from>
      <xdr:col>1</xdr:col>
      <xdr:colOff>1039812</xdr:colOff>
      <xdr:row>10</xdr:row>
      <xdr:rowOff>860425</xdr:rowOff>
    </xdr:from>
    <xdr:to>
      <xdr:col>1</xdr:col>
      <xdr:colOff>1439864</xdr:colOff>
      <xdr:row>11</xdr:row>
      <xdr:rowOff>269875</xdr:rowOff>
    </xdr:to>
    <xdr:sp macro="" textlink="">
      <xdr:nvSpPr>
        <xdr:cNvPr id="48" name="TextBox 47">
          <a:extLst>
            <a:ext uri="{FF2B5EF4-FFF2-40B4-BE49-F238E27FC236}">
              <a16:creationId xmlns:a16="http://schemas.microsoft.com/office/drawing/2014/main" id="{776F48C8-D025-406E-A5BC-5C77A6599A55}"/>
            </a:ext>
          </a:extLst>
        </xdr:cNvPr>
        <xdr:cNvSpPr txBox="1"/>
      </xdr:nvSpPr>
      <xdr:spPr>
        <a:xfrm>
          <a:off x="1154112" y="4244975"/>
          <a:ext cx="400052"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1-6</a:t>
          </a:r>
        </a:p>
      </xdr:txBody>
    </xdr:sp>
    <xdr:clientData/>
  </xdr:twoCellAnchor>
  <xdr:twoCellAnchor editAs="absolute">
    <xdr:from>
      <xdr:col>1</xdr:col>
      <xdr:colOff>1068387</xdr:colOff>
      <xdr:row>11</xdr:row>
      <xdr:rowOff>463550</xdr:rowOff>
    </xdr:from>
    <xdr:to>
      <xdr:col>1</xdr:col>
      <xdr:colOff>1411289</xdr:colOff>
      <xdr:row>12</xdr:row>
      <xdr:rowOff>165100</xdr:rowOff>
    </xdr:to>
    <xdr:sp macro="" textlink="">
      <xdr:nvSpPr>
        <xdr:cNvPr id="49" name="TextBox 48">
          <a:extLst>
            <a:ext uri="{FF2B5EF4-FFF2-40B4-BE49-F238E27FC236}">
              <a16:creationId xmlns:a16="http://schemas.microsoft.com/office/drawing/2014/main" id="{F746C03D-E914-48E3-978F-5F77FD4F076B}"/>
            </a:ext>
          </a:extLst>
        </xdr:cNvPr>
        <xdr:cNvSpPr txBox="1"/>
      </xdr:nvSpPr>
      <xdr:spPr>
        <a:xfrm>
          <a:off x="1182687" y="4797425"/>
          <a:ext cx="295277" cy="32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1-6</a:t>
          </a:r>
        </a:p>
      </xdr:txBody>
    </xdr:sp>
    <xdr:clientData/>
  </xdr:twoCellAnchor>
  <xdr:twoCellAnchor editAs="absolute">
    <xdr:from>
      <xdr:col>1</xdr:col>
      <xdr:colOff>1663702</xdr:colOff>
      <xdr:row>9</xdr:row>
      <xdr:rowOff>247650</xdr:rowOff>
    </xdr:from>
    <xdr:to>
      <xdr:col>2</xdr:col>
      <xdr:colOff>854077</xdr:colOff>
      <xdr:row>10</xdr:row>
      <xdr:rowOff>333375</xdr:rowOff>
    </xdr:to>
    <xdr:sp macro="" textlink="">
      <xdr:nvSpPr>
        <xdr:cNvPr id="50" name="TextBox 49">
          <a:extLst>
            <a:ext uri="{FF2B5EF4-FFF2-40B4-BE49-F238E27FC236}">
              <a16:creationId xmlns:a16="http://schemas.microsoft.com/office/drawing/2014/main" id="{F952F233-BBF6-4F2D-AC11-1788015A94AD}"/>
            </a:ext>
          </a:extLst>
        </xdr:cNvPr>
        <xdr:cNvSpPr txBox="1"/>
      </xdr:nvSpPr>
      <xdr:spPr>
        <a:xfrm>
          <a:off x="1778002" y="3143250"/>
          <a:ext cx="923925" cy="574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 90 days</a:t>
          </a:r>
        </a:p>
      </xdr:txBody>
    </xdr:sp>
    <xdr:clientData/>
  </xdr:twoCellAnchor>
  <xdr:twoCellAnchor editAs="absolute">
    <xdr:from>
      <xdr:col>1</xdr:col>
      <xdr:colOff>1663702</xdr:colOff>
      <xdr:row>10</xdr:row>
      <xdr:rowOff>320675</xdr:rowOff>
    </xdr:from>
    <xdr:to>
      <xdr:col>2</xdr:col>
      <xdr:colOff>854077</xdr:colOff>
      <xdr:row>10</xdr:row>
      <xdr:rowOff>628650</xdr:rowOff>
    </xdr:to>
    <xdr:sp macro="" textlink="">
      <xdr:nvSpPr>
        <xdr:cNvPr id="51" name="TextBox 50">
          <a:extLst>
            <a:ext uri="{FF2B5EF4-FFF2-40B4-BE49-F238E27FC236}">
              <a16:creationId xmlns:a16="http://schemas.microsoft.com/office/drawing/2014/main" id="{1E4F4A6C-242E-446B-BF3B-055A95405C3D}"/>
            </a:ext>
          </a:extLst>
        </xdr:cNvPr>
        <xdr:cNvSpPr txBox="1"/>
      </xdr:nvSpPr>
      <xdr:spPr>
        <a:xfrm>
          <a:off x="1778002" y="3705225"/>
          <a:ext cx="92392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&gt;90 days</a:t>
          </a:r>
        </a:p>
      </xdr:txBody>
    </xdr:sp>
    <xdr:clientData/>
  </xdr:twoCellAnchor>
  <xdr:twoCellAnchor editAs="absolute">
    <xdr:from>
      <xdr:col>1</xdr:col>
      <xdr:colOff>1663702</xdr:colOff>
      <xdr:row>10</xdr:row>
      <xdr:rowOff>866775</xdr:rowOff>
    </xdr:from>
    <xdr:to>
      <xdr:col>2</xdr:col>
      <xdr:colOff>854077</xdr:colOff>
      <xdr:row>11</xdr:row>
      <xdr:rowOff>184150</xdr:rowOff>
    </xdr:to>
    <xdr:sp macro="" textlink="">
      <xdr:nvSpPr>
        <xdr:cNvPr id="52" name="TextBox 51">
          <a:extLst>
            <a:ext uri="{FF2B5EF4-FFF2-40B4-BE49-F238E27FC236}">
              <a16:creationId xmlns:a16="http://schemas.microsoft.com/office/drawing/2014/main" id="{CD93686C-6AE2-4745-9278-EE4A8E5B9F71}"/>
            </a:ext>
          </a:extLst>
        </xdr:cNvPr>
        <xdr:cNvSpPr txBox="1"/>
      </xdr:nvSpPr>
      <xdr:spPr>
        <a:xfrm>
          <a:off x="1778002" y="4251325"/>
          <a:ext cx="923925"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 90 days</a:t>
          </a:r>
        </a:p>
      </xdr:txBody>
    </xdr:sp>
    <xdr:clientData/>
  </xdr:twoCellAnchor>
  <xdr:twoCellAnchor editAs="absolute">
    <xdr:from>
      <xdr:col>1</xdr:col>
      <xdr:colOff>1663702</xdr:colOff>
      <xdr:row>11</xdr:row>
      <xdr:rowOff>463550</xdr:rowOff>
    </xdr:from>
    <xdr:to>
      <xdr:col>2</xdr:col>
      <xdr:colOff>854077</xdr:colOff>
      <xdr:row>12</xdr:row>
      <xdr:rowOff>114300</xdr:rowOff>
    </xdr:to>
    <xdr:sp macro="" textlink="">
      <xdr:nvSpPr>
        <xdr:cNvPr id="53" name="TextBox 52">
          <a:extLst>
            <a:ext uri="{FF2B5EF4-FFF2-40B4-BE49-F238E27FC236}">
              <a16:creationId xmlns:a16="http://schemas.microsoft.com/office/drawing/2014/main" id="{1CC608C2-2103-4E79-A18F-3F645BAF6BED}"/>
            </a:ext>
          </a:extLst>
        </xdr:cNvPr>
        <xdr:cNvSpPr txBox="1"/>
      </xdr:nvSpPr>
      <xdr:spPr>
        <a:xfrm>
          <a:off x="1778002" y="4800600"/>
          <a:ext cx="923925"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&gt;90 days</a:t>
          </a:r>
        </a:p>
      </xdr:txBody>
    </xdr:sp>
    <xdr:clientData/>
  </xdr:twoCellAnchor>
  <xdr:twoCellAnchor editAs="absolute">
    <xdr:from>
      <xdr:col>2</xdr:col>
      <xdr:colOff>965200</xdr:colOff>
      <xdr:row>10</xdr:row>
      <xdr:rowOff>177801</xdr:rowOff>
    </xdr:from>
    <xdr:to>
      <xdr:col>3</xdr:col>
      <xdr:colOff>990600</xdr:colOff>
      <xdr:row>10</xdr:row>
      <xdr:rowOff>749301</xdr:rowOff>
    </xdr:to>
    <xdr:sp macro="" textlink="">
      <xdr:nvSpPr>
        <xdr:cNvPr id="54" name="TextBox 53">
          <a:extLst>
            <a:ext uri="{FF2B5EF4-FFF2-40B4-BE49-F238E27FC236}">
              <a16:creationId xmlns:a16="http://schemas.microsoft.com/office/drawing/2014/main" id="{D0C9ECA5-C3D4-42C7-8552-06D6DD1F04B8}"/>
            </a:ext>
          </a:extLst>
        </xdr:cNvPr>
        <xdr:cNvSpPr txBox="1"/>
      </xdr:nvSpPr>
      <xdr:spPr>
        <a:xfrm>
          <a:off x="2813050" y="3562351"/>
          <a:ext cx="12573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900">
              <a:solidFill>
                <a:schemeClr val="bg1"/>
              </a:solidFill>
            </a:rPr>
            <a:t>Frequent purchasers who also purchased recently</a:t>
          </a:r>
        </a:p>
      </xdr:txBody>
    </xdr:sp>
    <xdr:clientData/>
  </xdr:twoCellAnchor>
  <xdr:twoCellAnchor editAs="absolute">
    <xdr:from>
      <xdr:col>2</xdr:col>
      <xdr:colOff>965200</xdr:colOff>
      <xdr:row>10</xdr:row>
      <xdr:rowOff>723899</xdr:rowOff>
    </xdr:from>
    <xdr:to>
      <xdr:col>3</xdr:col>
      <xdr:colOff>906326</xdr:colOff>
      <xdr:row>11</xdr:row>
      <xdr:rowOff>342900</xdr:rowOff>
    </xdr:to>
    <xdr:sp macro="" textlink="">
      <xdr:nvSpPr>
        <xdr:cNvPr id="55" name="TextBox 54">
          <a:extLst>
            <a:ext uri="{FF2B5EF4-FFF2-40B4-BE49-F238E27FC236}">
              <a16:creationId xmlns:a16="http://schemas.microsoft.com/office/drawing/2014/main" id="{04ECFD67-DA01-459B-B533-FC45C9015020}"/>
            </a:ext>
          </a:extLst>
        </xdr:cNvPr>
        <xdr:cNvSpPr txBox="1"/>
      </xdr:nvSpPr>
      <xdr:spPr>
        <a:xfrm>
          <a:off x="2813050" y="4108449"/>
          <a:ext cx="1173026" cy="57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900">
              <a:solidFill>
                <a:schemeClr val="bg1"/>
              </a:solidFill>
            </a:rPr>
            <a:t>Frequent purchasers whose recent activity has declined</a:t>
          </a:r>
        </a:p>
      </xdr:txBody>
    </xdr:sp>
    <xdr:clientData/>
  </xdr:twoCellAnchor>
  <xdr:twoCellAnchor editAs="absolute">
    <xdr:from>
      <xdr:col>2</xdr:col>
      <xdr:colOff>965200</xdr:colOff>
      <xdr:row>11</xdr:row>
      <xdr:rowOff>323850</xdr:rowOff>
    </xdr:from>
    <xdr:to>
      <xdr:col>3</xdr:col>
      <xdr:colOff>973139</xdr:colOff>
      <xdr:row>13</xdr:row>
      <xdr:rowOff>101600</xdr:rowOff>
    </xdr:to>
    <xdr:sp macro="" textlink="">
      <xdr:nvSpPr>
        <xdr:cNvPr id="56" name="TextBox 55">
          <a:extLst>
            <a:ext uri="{FF2B5EF4-FFF2-40B4-BE49-F238E27FC236}">
              <a16:creationId xmlns:a16="http://schemas.microsoft.com/office/drawing/2014/main" id="{79CFD8FB-1656-4776-BD8B-2468FF606975}"/>
            </a:ext>
          </a:extLst>
        </xdr:cNvPr>
        <xdr:cNvSpPr txBox="1"/>
      </xdr:nvSpPr>
      <xdr:spPr>
        <a:xfrm>
          <a:off x="2813050" y="4660900"/>
          <a:ext cx="1239839"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900">
              <a:solidFill>
                <a:schemeClr val="bg1"/>
              </a:solidFill>
            </a:rPr>
            <a:t>Recent customers who haven't yet built high purchase frequency</a:t>
          </a:r>
        </a:p>
        <a:p>
          <a:pPr algn="l"/>
          <a:endParaRPr lang="en-CA" sz="900">
            <a:solidFill>
              <a:schemeClr val="bg1"/>
            </a:solidFill>
          </a:endParaRPr>
        </a:p>
      </xdr:txBody>
    </xdr:sp>
    <xdr:clientData/>
  </xdr:twoCellAnchor>
  <xdr:twoCellAnchor editAs="absolute">
    <xdr:from>
      <xdr:col>2</xdr:col>
      <xdr:colOff>965200</xdr:colOff>
      <xdr:row>9</xdr:row>
      <xdr:rowOff>107951</xdr:rowOff>
    </xdr:from>
    <xdr:to>
      <xdr:col>3</xdr:col>
      <xdr:colOff>869880</xdr:colOff>
      <xdr:row>10</xdr:row>
      <xdr:rowOff>196851</xdr:rowOff>
    </xdr:to>
    <xdr:sp macro="" textlink="">
      <xdr:nvSpPr>
        <xdr:cNvPr id="57" name="TextBox 56">
          <a:extLst>
            <a:ext uri="{FF2B5EF4-FFF2-40B4-BE49-F238E27FC236}">
              <a16:creationId xmlns:a16="http://schemas.microsoft.com/office/drawing/2014/main" id="{14CEA3C4-DBB5-4808-9EF0-3EFB79201B91}"/>
            </a:ext>
          </a:extLst>
        </xdr:cNvPr>
        <xdr:cNvSpPr txBox="1"/>
      </xdr:nvSpPr>
      <xdr:spPr>
        <a:xfrm>
          <a:off x="2813050" y="3003551"/>
          <a:ext cx="1136580" cy="577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900">
              <a:solidFill>
                <a:schemeClr val="bg1"/>
              </a:solidFill>
            </a:rPr>
            <a:t>Infrequent customers who also haven't purchased recently</a:t>
          </a:r>
        </a:p>
      </xdr:txBody>
    </xdr:sp>
    <xdr:clientData/>
  </xdr:twoCellAnchor>
  <xdr:twoCellAnchor editAs="absolute">
    <xdr:from>
      <xdr:col>1</xdr:col>
      <xdr:colOff>876300</xdr:colOff>
      <xdr:row>8</xdr:row>
      <xdr:rowOff>196850</xdr:rowOff>
    </xdr:from>
    <xdr:to>
      <xdr:col>1</xdr:col>
      <xdr:colOff>876300</xdr:colOff>
      <xdr:row>13</xdr:row>
      <xdr:rowOff>120650</xdr:rowOff>
    </xdr:to>
    <xdr:cxnSp macro="">
      <xdr:nvCxnSpPr>
        <xdr:cNvPr id="59" name="Straight Connector 58">
          <a:extLst>
            <a:ext uri="{FF2B5EF4-FFF2-40B4-BE49-F238E27FC236}">
              <a16:creationId xmlns:a16="http://schemas.microsoft.com/office/drawing/2014/main" id="{A801847C-85CE-9924-0417-CBFAC78F40A9}"/>
            </a:ext>
          </a:extLst>
        </xdr:cNvPr>
        <xdr:cNvCxnSpPr/>
      </xdr:nvCxnSpPr>
      <xdr:spPr>
        <a:xfrm>
          <a:off x="990600" y="2139950"/>
          <a:ext cx="0" cy="312420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xdr:col>
      <xdr:colOff>1600200</xdr:colOff>
      <xdr:row>8</xdr:row>
      <xdr:rowOff>196850</xdr:rowOff>
    </xdr:from>
    <xdr:to>
      <xdr:col>1</xdr:col>
      <xdr:colOff>1600200</xdr:colOff>
      <xdr:row>13</xdr:row>
      <xdr:rowOff>120650</xdr:rowOff>
    </xdr:to>
    <xdr:cxnSp macro="">
      <xdr:nvCxnSpPr>
        <xdr:cNvPr id="61" name="Straight Connector 60">
          <a:extLst>
            <a:ext uri="{FF2B5EF4-FFF2-40B4-BE49-F238E27FC236}">
              <a16:creationId xmlns:a16="http://schemas.microsoft.com/office/drawing/2014/main" id="{972DE40C-21C9-4194-8CB2-2F3B411985DA}"/>
            </a:ext>
          </a:extLst>
        </xdr:cNvPr>
        <xdr:cNvCxnSpPr/>
      </xdr:nvCxnSpPr>
      <xdr:spPr>
        <a:xfrm>
          <a:off x="1666875" y="2139950"/>
          <a:ext cx="0" cy="312420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2</xdr:col>
      <xdr:colOff>981075</xdr:colOff>
      <xdr:row>8</xdr:row>
      <xdr:rowOff>196850</xdr:rowOff>
    </xdr:from>
    <xdr:to>
      <xdr:col>2</xdr:col>
      <xdr:colOff>981075</xdr:colOff>
      <xdr:row>13</xdr:row>
      <xdr:rowOff>127000</xdr:rowOff>
    </xdr:to>
    <xdr:cxnSp macro="">
      <xdr:nvCxnSpPr>
        <xdr:cNvPr id="62" name="Straight Connector 61">
          <a:extLst>
            <a:ext uri="{FF2B5EF4-FFF2-40B4-BE49-F238E27FC236}">
              <a16:creationId xmlns:a16="http://schemas.microsoft.com/office/drawing/2014/main" id="{F6B08160-B71C-4D94-B570-F71BED40B609}"/>
            </a:ext>
          </a:extLst>
        </xdr:cNvPr>
        <xdr:cNvCxnSpPr/>
      </xdr:nvCxnSpPr>
      <xdr:spPr>
        <a:xfrm>
          <a:off x="2724150" y="2139950"/>
          <a:ext cx="0" cy="313055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xdr:col>
      <xdr:colOff>0</xdr:colOff>
      <xdr:row>8</xdr:row>
      <xdr:rowOff>923925</xdr:rowOff>
    </xdr:from>
    <xdr:to>
      <xdr:col>3</xdr:col>
      <xdr:colOff>939800</xdr:colOff>
      <xdr:row>8</xdr:row>
      <xdr:rowOff>923925</xdr:rowOff>
    </xdr:to>
    <xdr:cxnSp macro="">
      <xdr:nvCxnSpPr>
        <xdr:cNvPr id="64" name="Straight Connector 63">
          <a:extLst>
            <a:ext uri="{FF2B5EF4-FFF2-40B4-BE49-F238E27FC236}">
              <a16:creationId xmlns:a16="http://schemas.microsoft.com/office/drawing/2014/main" id="{FB4E8AE2-DB49-BB1D-F12C-7080637C903C}"/>
            </a:ext>
          </a:extLst>
        </xdr:cNvPr>
        <xdr:cNvCxnSpPr/>
      </xdr:nvCxnSpPr>
      <xdr:spPr>
        <a:xfrm>
          <a:off x="114300" y="2867025"/>
          <a:ext cx="3768725"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285750</xdr:colOff>
      <xdr:row>7</xdr:row>
      <xdr:rowOff>484187</xdr:rowOff>
    </xdr:from>
    <xdr:to>
      <xdr:col>4</xdr:col>
      <xdr:colOff>876300</xdr:colOff>
      <xdr:row>8</xdr:row>
      <xdr:rowOff>209550</xdr:rowOff>
    </xdr:to>
    <xdr:sp macro="" textlink="">
      <xdr:nvSpPr>
        <xdr:cNvPr id="5" name="TextBox 4">
          <a:extLst>
            <a:ext uri="{FF2B5EF4-FFF2-40B4-BE49-F238E27FC236}">
              <a16:creationId xmlns:a16="http://schemas.microsoft.com/office/drawing/2014/main" id="{81FA6E35-2C5C-EA55-C3F7-FAF7120D5B7A}"/>
            </a:ext>
          </a:extLst>
        </xdr:cNvPr>
        <xdr:cNvSpPr txBox="1"/>
      </xdr:nvSpPr>
      <xdr:spPr>
        <a:xfrm>
          <a:off x="5334000" y="1817687"/>
          <a:ext cx="590550" cy="334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rgbClr val="7030A0"/>
              </a:solidFill>
            </a:rPr>
            <a:t>90 days</a:t>
          </a:r>
        </a:p>
      </xdr:txBody>
    </xdr:sp>
    <xdr:clientData/>
  </xdr:twoCellAnchor>
  <xdr:twoCellAnchor>
    <xdr:from>
      <xdr:col>6</xdr:col>
      <xdr:colOff>1035050</xdr:colOff>
      <xdr:row>10</xdr:row>
      <xdr:rowOff>474662</xdr:rowOff>
    </xdr:from>
    <xdr:to>
      <xdr:col>6</xdr:col>
      <xdr:colOff>1609725</xdr:colOff>
      <xdr:row>10</xdr:row>
      <xdr:rowOff>809625</xdr:rowOff>
    </xdr:to>
    <xdr:sp macro="" textlink="">
      <xdr:nvSpPr>
        <xdr:cNvPr id="6" name="TextBox 5">
          <a:extLst>
            <a:ext uri="{FF2B5EF4-FFF2-40B4-BE49-F238E27FC236}">
              <a16:creationId xmlns:a16="http://schemas.microsoft.com/office/drawing/2014/main" id="{AD69BEA3-6A6E-4F57-AF57-A6E9FFE39C7D}"/>
            </a:ext>
          </a:extLst>
        </xdr:cNvPr>
        <xdr:cNvSpPr txBox="1"/>
      </xdr:nvSpPr>
      <xdr:spPr>
        <a:xfrm>
          <a:off x="9331325" y="3865562"/>
          <a:ext cx="574675" cy="334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rgbClr val="7030A0"/>
              </a:solidFill>
            </a:rPr>
            <a:t>7</a:t>
          </a:r>
          <a:r>
            <a:rPr lang="en-CA" sz="900" baseline="0">
              <a:solidFill>
                <a:srgbClr val="7030A0"/>
              </a:solidFill>
            </a:rPr>
            <a:t> orders</a:t>
          </a:r>
          <a:endParaRPr lang="en-CA" sz="900">
            <a:solidFill>
              <a:srgbClr val="7030A0"/>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0.17768</cdr:x>
      <cdr:y>0.17399</cdr:y>
    </cdr:from>
    <cdr:to>
      <cdr:x>0.17768</cdr:x>
      <cdr:y>0.82661</cdr:y>
    </cdr:to>
    <cdr:cxnSp macro="">
      <cdr:nvCxnSpPr>
        <cdr:cNvPr id="3" name="Straight Connector 2">
          <a:extLst xmlns:a="http://schemas.openxmlformats.org/drawingml/2006/main">
            <a:ext uri="{FF2B5EF4-FFF2-40B4-BE49-F238E27FC236}">
              <a16:creationId xmlns:a16="http://schemas.microsoft.com/office/drawing/2014/main" id="{3C7BB54C-729B-3781-D677-1C37D62A9F10}"/>
            </a:ext>
          </a:extLst>
        </cdr:cNvPr>
        <cdr:cNvCxnSpPr/>
      </cdr:nvCxnSpPr>
      <cdr:spPr>
        <a:xfrm xmlns:a="http://schemas.openxmlformats.org/drawingml/2006/main" flipV="1">
          <a:off x="1268859" y="688183"/>
          <a:ext cx="0" cy="2581275"/>
        </a:xfrm>
        <a:prstGeom xmlns:a="http://schemas.openxmlformats.org/drawingml/2006/main" prst="line">
          <a:avLst/>
        </a:prstGeom>
        <a:ln xmlns:a="http://schemas.openxmlformats.org/drawingml/2006/main">
          <a:solidFill>
            <a:srgbClr val="7030A0"/>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0.10367</cdr:x>
      <cdr:y>0.67069</cdr:y>
    </cdr:from>
    <cdr:to>
      <cdr:x>0.68618</cdr:x>
      <cdr:y>0.67069</cdr:y>
    </cdr:to>
    <cdr:cxnSp macro="">
      <cdr:nvCxnSpPr>
        <cdr:cNvPr id="6" name="Straight Connector 5">
          <a:extLst xmlns:a="http://schemas.openxmlformats.org/drawingml/2006/main">
            <a:ext uri="{FF2B5EF4-FFF2-40B4-BE49-F238E27FC236}">
              <a16:creationId xmlns:a16="http://schemas.microsoft.com/office/drawing/2014/main" id="{022489AE-1CCB-59FD-7659-450C02C909A6}"/>
            </a:ext>
          </a:extLst>
        </cdr:cNvPr>
        <cdr:cNvCxnSpPr/>
      </cdr:nvCxnSpPr>
      <cdr:spPr>
        <a:xfrm xmlns:a="http://schemas.openxmlformats.org/drawingml/2006/main">
          <a:off x="782450" y="2671933"/>
          <a:ext cx="4396505" cy="0"/>
        </a:xfrm>
        <a:prstGeom xmlns:a="http://schemas.openxmlformats.org/drawingml/2006/main" prst="line">
          <a:avLst/>
        </a:prstGeom>
        <a:ln xmlns:a="http://schemas.openxmlformats.org/drawingml/2006/main">
          <a:solidFill>
            <a:srgbClr val="7030A0"/>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editAs="absolute">
    <xdr:from>
      <xdr:col>0</xdr:col>
      <xdr:colOff>95250</xdr:colOff>
      <xdr:row>11</xdr:row>
      <xdr:rowOff>7936</xdr:rowOff>
    </xdr:from>
    <xdr:to>
      <xdr:col>6</xdr:col>
      <xdr:colOff>330200</xdr:colOff>
      <xdr:row>36</xdr:row>
      <xdr:rowOff>57150</xdr:rowOff>
    </xdr:to>
    <xdr:graphicFrame macro="">
      <xdr:nvGraphicFramePr>
        <xdr:cNvPr id="2" name="Chart 1">
          <a:extLst>
            <a:ext uri="{FF2B5EF4-FFF2-40B4-BE49-F238E27FC236}">
              <a16:creationId xmlns:a16="http://schemas.microsoft.com/office/drawing/2014/main" id="{78D302EA-F26A-5EB0-E80C-1E7B632A5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469899</xdr:colOff>
      <xdr:row>17</xdr:row>
      <xdr:rowOff>158750</xdr:rowOff>
    </xdr:from>
    <xdr:to>
      <xdr:col>23</xdr:col>
      <xdr:colOff>38099</xdr:colOff>
      <xdr:row>36</xdr:row>
      <xdr:rowOff>57150</xdr:rowOff>
    </xdr:to>
    <xdr:graphicFrame macro="">
      <xdr:nvGraphicFramePr>
        <xdr:cNvPr id="3" name="Chart 2">
          <a:extLst>
            <a:ext uri="{FF2B5EF4-FFF2-40B4-BE49-F238E27FC236}">
              <a16:creationId xmlns:a16="http://schemas.microsoft.com/office/drawing/2014/main" id="{B074AA16-4917-8753-B900-E2CEE395C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457200</xdr:colOff>
      <xdr:row>0</xdr:row>
      <xdr:rowOff>107949</xdr:rowOff>
    </xdr:from>
    <xdr:to>
      <xdr:col>23</xdr:col>
      <xdr:colOff>19050</xdr:colOff>
      <xdr:row>17</xdr:row>
      <xdr:rowOff>19049</xdr:rowOff>
    </xdr:to>
    <xdr:graphicFrame macro="">
      <xdr:nvGraphicFramePr>
        <xdr:cNvPr id="4" name="Chart 3">
          <a:extLst>
            <a:ext uri="{FF2B5EF4-FFF2-40B4-BE49-F238E27FC236}">
              <a16:creationId xmlns:a16="http://schemas.microsoft.com/office/drawing/2014/main" id="{56A41C87-9481-659C-F0C5-7EE3BA403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95249</xdr:colOff>
      <xdr:row>0</xdr:row>
      <xdr:rowOff>101600</xdr:rowOff>
    </xdr:from>
    <xdr:to>
      <xdr:col>6</xdr:col>
      <xdr:colOff>336168</xdr:colOff>
      <xdr:row>3</xdr:row>
      <xdr:rowOff>84137</xdr:rowOff>
    </xdr:to>
    <xdr:sp macro="" textlink="">
      <xdr:nvSpPr>
        <xdr:cNvPr id="5" name="TextBox 4">
          <a:extLst>
            <a:ext uri="{FF2B5EF4-FFF2-40B4-BE49-F238E27FC236}">
              <a16:creationId xmlns:a16="http://schemas.microsoft.com/office/drawing/2014/main" id="{9D587328-C858-41A0-89AB-37B50B42A6D7}"/>
            </a:ext>
          </a:extLst>
        </xdr:cNvPr>
        <xdr:cNvSpPr txBox="1"/>
      </xdr:nvSpPr>
      <xdr:spPr>
        <a:xfrm>
          <a:off x="95249" y="104775"/>
          <a:ext cx="3895344" cy="547687"/>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2800" b="1"/>
            <a:t>Purchasing Behavior</a:t>
          </a:r>
        </a:p>
      </xdr:txBody>
    </xdr:sp>
    <xdr:clientData/>
  </xdr:twoCellAnchor>
  <xdr:twoCellAnchor editAs="absolute">
    <xdr:from>
      <xdr:col>0</xdr:col>
      <xdr:colOff>95250</xdr:colOff>
      <xdr:row>4</xdr:row>
      <xdr:rowOff>6350</xdr:rowOff>
    </xdr:from>
    <xdr:to>
      <xdr:col>6</xdr:col>
      <xdr:colOff>336549</xdr:colOff>
      <xdr:row>10</xdr:row>
      <xdr:rowOff>82550</xdr:rowOff>
    </xdr:to>
    <xdr:sp macro="" textlink="">
      <xdr:nvSpPr>
        <xdr:cNvPr id="7" name="TextBox 6">
          <a:extLst>
            <a:ext uri="{FF2B5EF4-FFF2-40B4-BE49-F238E27FC236}">
              <a16:creationId xmlns:a16="http://schemas.microsoft.com/office/drawing/2014/main" id="{611B90E8-E55F-4E50-996D-D30706CEDDFA}"/>
            </a:ext>
          </a:extLst>
        </xdr:cNvPr>
        <xdr:cNvSpPr txBox="1"/>
      </xdr:nvSpPr>
      <xdr:spPr>
        <a:xfrm>
          <a:off x="95250" y="771525"/>
          <a:ext cx="3895724" cy="1219200"/>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1" i="0">
              <a:solidFill>
                <a:schemeClr val="dk1"/>
              </a:solidFill>
              <a:effectLst/>
              <a:latin typeface="+mn-lt"/>
              <a:ea typeface="+mn-ea"/>
              <a:cs typeface="+mn-cs"/>
            </a:rPr>
            <a:t>  </a:t>
          </a:r>
          <a:r>
            <a:rPr lang="en-US" sz="1100" b="1" i="0" u="sng">
              <a:solidFill>
                <a:schemeClr val="dk1"/>
              </a:solidFill>
              <a:effectLst/>
              <a:latin typeface="+mn-lt"/>
              <a:ea typeface="+mn-ea"/>
              <a:cs typeface="+mn-cs"/>
            </a:rPr>
            <a:t>Analysis Framework</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Cutoff Date: </a:t>
          </a:r>
          <a:r>
            <a:rPr lang="en-US" sz="900" b="0" i="0">
              <a:solidFill>
                <a:schemeClr val="dk1"/>
              </a:solidFill>
              <a:effectLst/>
              <a:latin typeface="+mn-lt"/>
              <a:ea typeface="+mn-ea"/>
              <a:cs typeface="+mn-cs"/>
            </a:rPr>
            <a:t>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Historical (Behavior) Period: </a:t>
          </a:r>
          <a:r>
            <a:rPr lang="en-US" sz="900" b="0" i="0">
              <a:solidFill>
                <a:schemeClr val="dk1"/>
              </a:solidFill>
              <a:effectLst/>
              <a:latin typeface="+mn-lt"/>
              <a:ea typeface="+mn-ea"/>
              <a:cs typeface="+mn-cs"/>
            </a:rPr>
            <a:t>Before 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Future (Outcome) Period: </a:t>
          </a:r>
          <a:r>
            <a:rPr lang="en-US" sz="900" b="0" i="0">
              <a:solidFill>
                <a:schemeClr val="dk1"/>
              </a:solidFill>
              <a:effectLst/>
              <a:latin typeface="+mn-lt"/>
              <a:ea typeface="+mn-ea"/>
              <a:cs typeface="+mn-cs"/>
            </a:rPr>
            <a:t>Dec 1st, 2025 onward</a:t>
          </a:r>
        </a:p>
      </xdr:txBody>
    </xdr:sp>
    <xdr:clientData/>
  </xdr:twoCellAnchor>
  <xdr:twoCellAnchor>
    <xdr:from>
      <xdr:col>7</xdr:col>
      <xdr:colOff>219075</xdr:colOff>
      <xdr:row>2</xdr:row>
      <xdr:rowOff>142875</xdr:rowOff>
    </xdr:from>
    <xdr:to>
      <xdr:col>9</xdr:col>
      <xdr:colOff>571500</xdr:colOff>
      <xdr:row>14</xdr:row>
      <xdr:rowOff>142875</xdr:rowOff>
    </xdr:to>
    <xdr:sp macro="" textlink="">
      <xdr:nvSpPr>
        <xdr:cNvPr id="8" name="TextBox 7">
          <a:extLst>
            <a:ext uri="{FF2B5EF4-FFF2-40B4-BE49-F238E27FC236}">
              <a16:creationId xmlns:a16="http://schemas.microsoft.com/office/drawing/2014/main" id="{1FF3A8E7-9E7B-940B-CF38-CC9B9DEE0D9D}"/>
            </a:ext>
          </a:extLst>
        </xdr:cNvPr>
        <xdr:cNvSpPr txBox="1"/>
      </xdr:nvSpPr>
      <xdr:spPr>
        <a:xfrm>
          <a:off x="4486275" y="523875"/>
          <a:ext cx="1571625" cy="2286000"/>
        </a:xfrm>
        <a:prstGeom prst="rect">
          <a:avLst/>
        </a:prstGeom>
        <a:solidFill>
          <a:schemeClr val="accent6">
            <a:lumMod val="40000"/>
            <a:lumOff val="60000"/>
          </a:schemeClr>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a:p>
      </xdr:txBody>
    </xdr:sp>
    <xdr:clientData/>
  </xdr:twoCellAnchor>
  <xdr:twoCellAnchor>
    <xdr:from>
      <xdr:col>7</xdr:col>
      <xdr:colOff>352425</xdr:colOff>
      <xdr:row>2</xdr:row>
      <xdr:rowOff>133350</xdr:rowOff>
    </xdr:from>
    <xdr:to>
      <xdr:col>8</xdr:col>
      <xdr:colOff>285750</xdr:colOff>
      <xdr:row>5</xdr:row>
      <xdr:rowOff>19050</xdr:rowOff>
    </xdr:to>
    <xdr:sp macro="" textlink="">
      <xdr:nvSpPr>
        <xdr:cNvPr id="10" name="TextBox 9">
          <a:extLst>
            <a:ext uri="{FF2B5EF4-FFF2-40B4-BE49-F238E27FC236}">
              <a16:creationId xmlns:a16="http://schemas.microsoft.com/office/drawing/2014/main" id="{99A34A79-FBB3-46FD-95F4-288FD68D98C3}"/>
            </a:ext>
          </a:extLst>
        </xdr:cNvPr>
        <xdr:cNvSpPr txBox="1"/>
      </xdr:nvSpPr>
      <xdr:spPr>
        <a:xfrm>
          <a:off x="4619625" y="514350"/>
          <a:ext cx="5429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tx1">
                  <a:lumMod val="75000"/>
                  <a:lumOff val="25000"/>
                </a:schemeClr>
              </a:solidFill>
            </a:rPr>
            <a:t>Value Tier </a:t>
          </a:r>
        </a:p>
      </xdr:txBody>
    </xdr:sp>
    <xdr:clientData/>
  </xdr:twoCellAnchor>
  <xdr:twoCellAnchor>
    <xdr:from>
      <xdr:col>7</xdr:col>
      <xdr:colOff>314325</xdr:colOff>
      <xdr:row>5</xdr:row>
      <xdr:rowOff>95250</xdr:rowOff>
    </xdr:from>
    <xdr:to>
      <xdr:col>8</xdr:col>
      <xdr:colOff>371475</xdr:colOff>
      <xdr:row>7</xdr:row>
      <xdr:rowOff>47625</xdr:rowOff>
    </xdr:to>
    <xdr:sp macro="" textlink="">
      <xdr:nvSpPr>
        <xdr:cNvPr id="11" name="TextBox 10">
          <a:extLst>
            <a:ext uri="{FF2B5EF4-FFF2-40B4-BE49-F238E27FC236}">
              <a16:creationId xmlns:a16="http://schemas.microsoft.com/office/drawing/2014/main" id="{052B5A86-EAEC-4091-8B43-AA13CFCF4EB0}"/>
            </a:ext>
          </a:extLst>
        </xdr:cNvPr>
        <xdr:cNvSpPr txBox="1"/>
      </xdr:nvSpPr>
      <xdr:spPr>
        <a:xfrm>
          <a:off x="4581525" y="1047750"/>
          <a:ext cx="6667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Very High </a:t>
          </a:r>
        </a:p>
      </xdr:txBody>
    </xdr:sp>
    <xdr:clientData/>
  </xdr:twoCellAnchor>
  <xdr:twoCellAnchor>
    <xdr:from>
      <xdr:col>7</xdr:col>
      <xdr:colOff>423863</xdr:colOff>
      <xdr:row>7</xdr:row>
      <xdr:rowOff>152400</xdr:rowOff>
    </xdr:from>
    <xdr:to>
      <xdr:col>8</xdr:col>
      <xdr:colOff>261938</xdr:colOff>
      <xdr:row>9</xdr:row>
      <xdr:rowOff>104775</xdr:rowOff>
    </xdr:to>
    <xdr:sp macro="" textlink="">
      <xdr:nvSpPr>
        <xdr:cNvPr id="12" name="TextBox 11">
          <a:extLst>
            <a:ext uri="{FF2B5EF4-FFF2-40B4-BE49-F238E27FC236}">
              <a16:creationId xmlns:a16="http://schemas.microsoft.com/office/drawing/2014/main" id="{49E82174-3CD4-40BE-A7BC-5F642B8AF11A}"/>
            </a:ext>
          </a:extLst>
        </xdr:cNvPr>
        <xdr:cNvSpPr txBox="1"/>
      </xdr:nvSpPr>
      <xdr:spPr>
        <a:xfrm>
          <a:off x="4691063" y="1485900"/>
          <a:ext cx="4476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High </a:t>
          </a:r>
        </a:p>
      </xdr:txBody>
    </xdr:sp>
    <xdr:clientData/>
  </xdr:twoCellAnchor>
  <xdr:twoCellAnchor>
    <xdr:from>
      <xdr:col>7</xdr:col>
      <xdr:colOff>342900</xdr:colOff>
      <xdr:row>10</xdr:row>
      <xdr:rowOff>9525</xdr:rowOff>
    </xdr:from>
    <xdr:to>
      <xdr:col>8</xdr:col>
      <xdr:colOff>342900</xdr:colOff>
      <xdr:row>11</xdr:row>
      <xdr:rowOff>152400</xdr:rowOff>
    </xdr:to>
    <xdr:sp macro="" textlink="">
      <xdr:nvSpPr>
        <xdr:cNvPr id="13" name="TextBox 12">
          <a:extLst>
            <a:ext uri="{FF2B5EF4-FFF2-40B4-BE49-F238E27FC236}">
              <a16:creationId xmlns:a16="http://schemas.microsoft.com/office/drawing/2014/main" id="{D5B1E9ED-964F-4026-B870-1CFC7F88E376}"/>
            </a:ext>
          </a:extLst>
        </xdr:cNvPr>
        <xdr:cNvSpPr txBox="1"/>
      </xdr:nvSpPr>
      <xdr:spPr>
        <a:xfrm>
          <a:off x="4610100" y="1914525"/>
          <a:ext cx="6096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Medium</a:t>
          </a:r>
        </a:p>
      </xdr:txBody>
    </xdr:sp>
    <xdr:clientData/>
  </xdr:twoCellAnchor>
  <xdr:twoCellAnchor>
    <xdr:from>
      <xdr:col>7</xdr:col>
      <xdr:colOff>423863</xdr:colOff>
      <xdr:row>12</xdr:row>
      <xdr:rowOff>76200</xdr:rowOff>
    </xdr:from>
    <xdr:to>
      <xdr:col>8</xdr:col>
      <xdr:colOff>338138</xdr:colOff>
      <xdr:row>14</xdr:row>
      <xdr:rowOff>28575</xdr:rowOff>
    </xdr:to>
    <xdr:sp macro="" textlink="">
      <xdr:nvSpPr>
        <xdr:cNvPr id="14" name="TextBox 13">
          <a:extLst>
            <a:ext uri="{FF2B5EF4-FFF2-40B4-BE49-F238E27FC236}">
              <a16:creationId xmlns:a16="http://schemas.microsoft.com/office/drawing/2014/main" id="{1E25D658-586E-4A66-877A-79DF7ADE5876}"/>
            </a:ext>
          </a:extLst>
        </xdr:cNvPr>
        <xdr:cNvSpPr txBox="1"/>
      </xdr:nvSpPr>
      <xdr:spPr>
        <a:xfrm>
          <a:off x="4691063" y="2362200"/>
          <a:ext cx="5238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Low</a:t>
          </a:r>
        </a:p>
      </xdr:txBody>
    </xdr:sp>
    <xdr:clientData/>
  </xdr:twoCellAnchor>
  <xdr:twoCellAnchor>
    <xdr:from>
      <xdr:col>8</xdr:col>
      <xdr:colOff>390524</xdr:colOff>
      <xdr:row>5</xdr:row>
      <xdr:rowOff>9525</xdr:rowOff>
    </xdr:from>
    <xdr:to>
      <xdr:col>10</xdr:col>
      <xdr:colOff>323850</xdr:colOff>
      <xdr:row>7</xdr:row>
      <xdr:rowOff>104775</xdr:rowOff>
    </xdr:to>
    <xdr:sp macro="" textlink="">
      <xdr:nvSpPr>
        <xdr:cNvPr id="15" name="TextBox 14">
          <a:extLst>
            <a:ext uri="{FF2B5EF4-FFF2-40B4-BE49-F238E27FC236}">
              <a16:creationId xmlns:a16="http://schemas.microsoft.com/office/drawing/2014/main" id="{38A45508-14D7-48C6-8B47-CC382A10DA6E}"/>
            </a:ext>
          </a:extLst>
        </xdr:cNvPr>
        <xdr:cNvSpPr txBox="1"/>
      </xdr:nvSpPr>
      <xdr:spPr>
        <a:xfrm>
          <a:off x="5267324" y="962025"/>
          <a:ext cx="1152526"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75-100th </a:t>
          </a:r>
        </a:p>
        <a:p>
          <a:r>
            <a:rPr lang="en-CA" sz="900">
              <a:solidFill>
                <a:schemeClr val="tx1">
                  <a:lumMod val="75000"/>
                  <a:lumOff val="25000"/>
                </a:schemeClr>
              </a:solidFill>
            </a:rPr>
            <a:t>percentiles </a:t>
          </a:r>
        </a:p>
      </xdr:txBody>
    </xdr:sp>
    <xdr:clientData/>
  </xdr:twoCellAnchor>
  <xdr:twoCellAnchor>
    <xdr:from>
      <xdr:col>8</xdr:col>
      <xdr:colOff>390524</xdr:colOff>
      <xdr:row>7</xdr:row>
      <xdr:rowOff>66675</xdr:rowOff>
    </xdr:from>
    <xdr:to>
      <xdr:col>10</xdr:col>
      <xdr:colOff>323850</xdr:colOff>
      <xdr:row>9</xdr:row>
      <xdr:rowOff>114300</xdr:rowOff>
    </xdr:to>
    <xdr:sp macro="" textlink="">
      <xdr:nvSpPr>
        <xdr:cNvPr id="16" name="TextBox 15">
          <a:extLst>
            <a:ext uri="{FF2B5EF4-FFF2-40B4-BE49-F238E27FC236}">
              <a16:creationId xmlns:a16="http://schemas.microsoft.com/office/drawing/2014/main" id="{B4A4FB44-96C3-437C-B2F1-E3C8DDD38750}"/>
            </a:ext>
          </a:extLst>
        </xdr:cNvPr>
        <xdr:cNvSpPr txBox="1"/>
      </xdr:nvSpPr>
      <xdr:spPr>
        <a:xfrm>
          <a:off x="5267324" y="1400175"/>
          <a:ext cx="1152526"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50-75th </a:t>
          </a:r>
        </a:p>
        <a:p>
          <a:r>
            <a:rPr lang="en-CA" sz="900">
              <a:solidFill>
                <a:schemeClr val="tx1">
                  <a:lumMod val="75000"/>
                  <a:lumOff val="25000"/>
                </a:schemeClr>
              </a:solidFill>
            </a:rPr>
            <a:t>percentiles </a:t>
          </a:r>
        </a:p>
      </xdr:txBody>
    </xdr:sp>
    <xdr:clientData/>
  </xdr:twoCellAnchor>
  <xdr:twoCellAnchor>
    <xdr:from>
      <xdr:col>8</xdr:col>
      <xdr:colOff>390524</xdr:colOff>
      <xdr:row>9</xdr:row>
      <xdr:rowOff>133350</xdr:rowOff>
    </xdr:from>
    <xdr:to>
      <xdr:col>10</xdr:col>
      <xdr:colOff>323850</xdr:colOff>
      <xdr:row>11</xdr:row>
      <xdr:rowOff>152400</xdr:rowOff>
    </xdr:to>
    <xdr:sp macro="" textlink="">
      <xdr:nvSpPr>
        <xdr:cNvPr id="17" name="TextBox 16">
          <a:extLst>
            <a:ext uri="{FF2B5EF4-FFF2-40B4-BE49-F238E27FC236}">
              <a16:creationId xmlns:a16="http://schemas.microsoft.com/office/drawing/2014/main" id="{86A603EE-B3F2-441C-97CF-102B0500E1DB}"/>
            </a:ext>
          </a:extLst>
        </xdr:cNvPr>
        <xdr:cNvSpPr txBox="1"/>
      </xdr:nvSpPr>
      <xdr:spPr>
        <a:xfrm>
          <a:off x="5267324" y="1847850"/>
          <a:ext cx="115252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25-50th </a:t>
          </a:r>
        </a:p>
        <a:p>
          <a:r>
            <a:rPr lang="en-CA" sz="900">
              <a:solidFill>
                <a:schemeClr val="tx1">
                  <a:lumMod val="75000"/>
                  <a:lumOff val="25000"/>
                </a:schemeClr>
              </a:solidFill>
            </a:rPr>
            <a:t>percentiles </a:t>
          </a:r>
        </a:p>
      </xdr:txBody>
    </xdr:sp>
    <xdr:clientData/>
  </xdr:twoCellAnchor>
  <xdr:twoCellAnchor>
    <xdr:from>
      <xdr:col>8</xdr:col>
      <xdr:colOff>390524</xdr:colOff>
      <xdr:row>12</xdr:row>
      <xdr:rowOff>19050</xdr:rowOff>
    </xdr:from>
    <xdr:to>
      <xdr:col>10</xdr:col>
      <xdr:colOff>323850</xdr:colOff>
      <xdr:row>14</xdr:row>
      <xdr:rowOff>85725</xdr:rowOff>
    </xdr:to>
    <xdr:sp macro="" textlink="">
      <xdr:nvSpPr>
        <xdr:cNvPr id="18" name="TextBox 17">
          <a:extLst>
            <a:ext uri="{FF2B5EF4-FFF2-40B4-BE49-F238E27FC236}">
              <a16:creationId xmlns:a16="http://schemas.microsoft.com/office/drawing/2014/main" id="{56BA84FC-7BF2-459C-B983-D7242DCE5FB9}"/>
            </a:ext>
          </a:extLst>
        </xdr:cNvPr>
        <xdr:cNvSpPr txBox="1"/>
      </xdr:nvSpPr>
      <xdr:spPr>
        <a:xfrm>
          <a:off x="5267324" y="2305050"/>
          <a:ext cx="1152526"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0-25th </a:t>
          </a:r>
        </a:p>
        <a:p>
          <a:r>
            <a:rPr lang="en-CA" sz="900">
              <a:solidFill>
                <a:schemeClr val="tx1">
                  <a:lumMod val="75000"/>
                  <a:lumOff val="25000"/>
                </a:schemeClr>
              </a:solidFill>
            </a:rPr>
            <a:t>percentiles </a:t>
          </a:r>
        </a:p>
      </xdr:txBody>
    </xdr:sp>
    <xdr:clientData/>
  </xdr:twoCellAnchor>
  <xdr:twoCellAnchor>
    <xdr:from>
      <xdr:col>7</xdr:col>
      <xdr:colOff>219075</xdr:colOff>
      <xdr:row>4</xdr:row>
      <xdr:rowOff>171450</xdr:rowOff>
    </xdr:from>
    <xdr:to>
      <xdr:col>9</xdr:col>
      <xdr:colOff>571500</xdr:colOff>
      <xdr:row>4</xdr:row>
      <xdr:rowOff>171450</xdr:rowOff>
    </xdr:to>
    <xdr:cxnSp macro="">
      <xdr:nvCxnSpPr>
        <xdr:cNvPr id="20" name="Straight Connector 19">
          <a:extLst>
            <a:ext uri="{FF2B5EF4-FFF2-40B4-BE49-F238E27FC236}">
              <a16:creationId xmlns:a16="http://schemas.microsoft.com/office/drawing/2014/main" id="{6D93F154-3E8E-663F-C43F-A6D3FD8C3498}"/>
            </a:ext>
          </a:extLst>
        </xdr:cNvPr>
        <xdr:cNvCxnSpPr/>
      </xdr:nvCxnSpPr>
      <xdr:spPr>
        <a:xfrm>
          <a:off x="4486275" y="933450"/>
          <a:ext cx="1571625" cy="0"/>
        </a:xfrm>
        <a:prstGeom prst="line">
          <a:avLst/>
        </a:prstGeom>
        <a:ln>
          <a:solidFill>
            <a:schemeClr val="accent6">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333375</xdr:colOff>
      <xdr:row>2</xdr:row>
      <xdr:rowOff>142875</xdr:rowOff>
    </xdr:from>
    <xdr:to>
      <xdr:col>8</xdr:col>
      <xdr:colOff>333375</xdr:colOff>
      <xdr:row>14</xdr:row>
      <xdr:rowOff>133350</xdr:rowOff>
    </xdr:to>
    <xdr:cxnSp macro="">
      <xdr:nvCxnSpPr>
        <xdr:cNvPr id="24" name="Straight Connector 23">
          <a:extLst>
            <a:ext uri="{FF2B5EF4-FFF2-40B4-BE49-F238E27FC236}">
              <a16:creationId xmlns:a16="http://schemas.microsoft.com/office/drawing/2014/main" id="{9540B75F-73A1-AC17-9B67-22824AAAEA49}"/>
            </a:ext>
          </a:extLst>
        </xdr:cNvPr>
        <xdr:cNvCxnSpPr/>
      </xdr:nvCxnSpPr>
      <xdr:spPr>
        <a:xfrm>
          <a:off x="5210175" y="523875"/>
          <a:ext cx="0" cy="2276475"/>
        </a:xfrm>
        <a:prstGeom prst="line">
          <a:avLst/>
        </a:prstGeom>
        <a:ln>
          <a:solidFill>
            <a:schemeClr val="accent6">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85725</xdr:colOff>
      <xdr:row>10</xdr:row>
      <xdr:rowOff>188118</xdr:rowOff>
    </xdr:from>
    <xdr:to>
      <xdr:col>6</xdr:col>
      <xdr:colOff>323850</xdr:colOff>
      <xdr:row>28</xdr:row>
      <xdr:rowOff>25400</xdr:rowOff>
    </xdr:to>
    <xdr:graphicFrame macro="">
      <xdr:nvGraphicFramePr>
        <xdr:cNvPr id="2" name="Chart 1">
          <a:extLst>
            <a:ext uri="{FF2B5EF4-FFF2-40B4-BE49-F238E27FC236}">
              <a16:creationId xmlns:a16="http://schemas.microsoft.com/office/drawing/2014/main" id="{AA282452-6B62-406F-D996-9F1182776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421482</xdr:colOff>
      <xdr:row>0</xdr:row>
      <xdr:rowOff>92867</xdr:rowOff>
    </xdr:from>
    <xdr:to>
      <xdr:col>20</xdr:col>
      <xdr:colOff>819150</xdr:colOff>
      <xdr:row>15</xdr:row>
      <xdr:rowOff>9524</xdr:rowOff>
    </xdr:to>
    <xdr:graphicFrame macro="">
      <xdr:nvGraphicFramePr>
        <xdr:cNvPr id="3" name="Chart 2">
          <a:extLst>
            <a:ext uri="{FF2B5EF4-FFF2-40B4-BE49-F238E27FC236}">
              <a16:creationId xmlns:a16="http://schemas.microsoft.com/office/drawing/2014/main" id="{0DA40B10-0994-72AB-2DB8-BACC1C1DC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419100</xdr:colOff>
      <xdr:row>16</xdr:row>
      <xdr:rowOff>3174</xdr:rowOff>
    </xdr:from>
    <xdr:to>
      <xdr:col>18</xdr:col>
      <xdr:colOff>180975</xdr:colOff>
      <xdr:row>31</xdr:row>
      <xdr:rowOff>225425</xdr:rowOff>
    </xdr:to>
    <xdr:graphicFrame macro="">
      <xdr:nvGraphicFramePr>
        <xdr:cNvPr id="4" name="Chart 3">
          <a:extLst>
            <a:ext uri="{FF2B5EF4-FFF2-40B4-BE49-F238E27FC236}">
              <a16:creationId xmlns:a16="http://schemas.microsoft.com/office/drawing/2014/main" id="{B8BDE308-2714-71C0-DB20-28168194A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504825</xdr:colOff>
      <xdr:row>19</xdr:row>
      <xdr:rowOff>76200</xdr:rowOff>
    </xdr:from>
    <xdr:to>
      <xdr:col>9</xdr:col>
      <xdr:colOff>66675</xdr:colOff>
      <xdr:row>20</xdr:row>
      <xdr:rowOff>85725</xdr:rowOff>
    </xdr:to>
    <xdr:sp macro="" textlink="">
      <xdr:nvSpPr>
        <xdr:cNvPr id="5" name="TextBox 4">
          <a:extLst>
            <a:ext uri="{FF2B5EF4-FFF2-40B4-BE49-F238E27FC236}">
              <a16:creationId xmlns:a16="http://schemas.microsoft.com/office/drawing/2014/main" id="{0DC57D55-598C-554D-C7E8-38BDA712A012}"/>
            </a:ext>
          </a:extLst>
        </xdr:cNvPr>
        <xdr:cNvSpPr txBox="1"/>
      </xdr:nvSpPr>
      <xdr:spPr>
        <a:xfrm>
          <a:off x="4772025" y="3800475"/>
          <a:ext cx="7810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tx1">
                  <a:lumMod val="65000"/>
                  <a:lumOff val="35000"/>
                </a:schemeClr>
              </a:solidFill>
            </a:rPr>
            <a:t>Page View </a:t>
          </a:r>
        </a:p>
      </xdr:txBody>
    </xdr:sp>
    <xdr:clientData/>
  </xdr:twoCellAnchor>
  <xdr:twoCellAnchor>
    <xdr:from>
      <xdr:col>7</xdr:col>
      <xdr:colOff>504825</xdr:colOff>
      <xdr:row>27</xdr:row>
      <xdr:rowOff>28575</xdr:rowOff>
    </xdr:from>
    <xdr:to>
      <xdr:col>8</xdr:col>
      <xdr:colOff>419100</xdr:colOff>
      <xdr:row>28</xdr:row>
      <xdr:rowOff>57150</xdr:rowOff>
    </xdr:to>
    <xdr:sp macro="" textlink="">
      <xdr:nvSpPr>
        <xdr:cNvPr id="9" name="TextBox 8">
          <a:extLst>
            <a:ext uri="{FF2B5EF4-FFF2-40B4-BE49-F238E27FC236}">
              <a16:creationId xmlns:a16="http://schemas.microsoft.com/office/drawing/2014/main" id="{4CFC1C2B-715B-4109-9C1A-08C4517BFC78}"/>
            </a:ext>
          </a:extLst>
        </xdr:cNvPr>
        <xdr:cNvSpPr txBox="1"/>
      </xdr:nvSpPr>
      <xdr:spPr>
        <a:xfrm>
          <a:off x="4772025" y="5572125"/>
          <a:ext cx="523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CA" sz="1100" b="1">
              <a:solidFill>
                <a:schemeClr val="tx1">
                  <a:lumMod val="65000"/>
                  <a:lumOff val="35000"/>
                </a:schemeClr>
              </a:solidFill>
              <a:effectLst/>
              <a:latin typeface="+mn-lt"/>
              <a:ea typeface="+mn-ea"/>
              <a:cs typeface="+mn-cs"/>
            </a:rPr>
            <a:t>Login </a:t>
          </a:r>
          <a:endParaRPr lang="en-CA">
            <a:solidFill>
              <a:schemeClr val="tx1">
                <a:lumMod val="65000"/>
                <a:lumOff val="35000"/>
              </a:schemeClr>
            </a:solidFill>
            <a:effectLst/>
          </a:endParaRPr>
        </a:p>
        <a:p>
          <a:endParaRPr lang="en-CA" sz="1100">
            <a:solidFill>
              <a:schemeClr val="tx1">
                <a:lumMod val="65000"/>
                <a:lumOff val="35000"/>
              </a:schemeClr>
            </a:solidFill>
          </a:endParaRPr>
        </a:p>
      </xdr:txBody>
    </xdr:sp>
    <xdr:clientData/>
  </xdr:twoCellAnchor>
  <xdr:twoCellAnchor>
    <xdr:from>
      <xdr:col>7</xdr:col>
      <xdr:colOff>504825</xdr:colOff>
      <xdr:row>21</xdr:row>
      <xdr:rowOff>76200</xdr:rowOff>
    </xdr:from>
    <xdr:to>
      <xdr:col>8</xdr:col>
      <xdr:colOff>495300</xdr:colOff>
      <xdr:row>22</xdr:row>
      <xdr:rowOff>57150</xdr:rowOff>
    </xdr:to>
    <xdr:sp macro="" textlink="">
      <xdr:nvSpPr>
        <xdr:cNvPr id="10" name="TextBox 9">
          <a:extLst>
            <a:ext uri="{FF2B5EF4-FFF2-40B4-BE49-F238E27FC236}">
              <a16:creationId xmlns:a16="http://schemas.microsoft.com/office/drawing/2014/main" id="{30116DDF-E83F-4BB8-B258-1371B2058174}"/>
            </a:ext>
          </a:extLst>
        </xdr:cNvPr>
        <xdr:cNvSpPr txBox="1"/>
      </xdr:nvSpPr>
      <xdr:spPr>
        <a:xfrm>
          <a:off x="4772025" y="4391025"/>
          <a:ext cx="6000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CA" sz="1100" b="1">
              <a:solidFill>
                <a:schemeClr val="tx1">
                  <a:lumMod val="65000"/>
                  <a:lumOff val="35000"/>
                </a:schemeClr>
              </a:solidFill>
              <a:effectLst/>
              <a:latin typeface="+mn-lt"/>
              <a:ea typeface="+mn-ea"/>
              <a:cs typeface="+mn-cs"/>
            </a:rPr>
            <a:t>Search</a:t>
          </a:r>
          <a:r>
            <a:rPr lang="en-CA" sz="1100" b="1" baseline="0">
              <a:solidFill>
                <a:schemeClr val="tx1">
                  <a:lumMod val="65000"/>
                  <a:lumOff val="35000"/>
                </a:schemeClr>
              </a:solidFill>
              <a:effectLst/>
              <a:latin typeface="+mn-lt"/>
              <a:ea typeface="+mn-ea"/>
              <a:cs typeface="+mn-cs"/>
            </a:rPr>
            <a:t> </a:t>
          </a:r>
          <a:endParaRPr lang="en-CA" sz="1100">
            <a:solidFill>
              <a:schemeClr val="tx1">
                <a:lumMod val="65000"/>
                <a:lumOff val="35000"/>
              </a:schemeClr>
            </a:solidFill>
          </a:endParaRPr>
        </a:p>
      </xdr:txBody>
    </xdr:sp>
    <xdr:clientData/>
  </xdr:twoCellAnchor>
  <xdr:twoCellAnchor>
    <xdr:from>
      <xdr:col>7</xdr:col>
      <xdr:colOff>504825</xdr:colOff>
      <xdr:row>24</xdr:row>
      <xdr:rowOff>57150</xdr:rowOff>
    </xdr:from>
    <xdr:to>
      <xdr:col>9</xdr:col>
      <xdr:colOff>133350</xdr:colOff>
      <xdr:row>25</xdr:row>
      <xdr:rowOff>104775</xdr:rowOff>
    </xdr:to>
    <xdr:sp macro="" textlink="">
      <xdr:nvSpPr>
        <xdr:cNvPr id="11" name="TextBox 10">
          <a:extLst>
            <a:ext uri="{FF2B5EF4-FFF2-40B4-BE49-F238E27FC236}">
              <a16:creationId xmlns:a16="http://schemas.microsoft.com/office/drawing/2014/main" id="{BD2780E0-1300-41B6-B424-9EAC5632FC5C}"/>
            </a:ext>
          </a:extLst>
        </xdr:cNvPr>
        <xdr:cNvSpPr txBox="1"/>
      </xdr:nvSpPr>
      <xdr:spPr>
        <a:xfrm>
          <a:off x="4772025" y="5000625"/>
          <a:ext cx="8477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CA" sz="1100" b="1">
              <a:solidFill>
                <a:schemeClr val="tx1">
                  <a:lumMod val="65000"/>
                  <a:lumOff val="35000"/>
                </a:schemeClr>
              </a:solidFill>
              <a:effectLst/>
              <a:latin typeface="+mn-lt"/>
              <a:ea typeface="+mn-ea"/>
              <a:cs typeface="+mn-cs"/>
            </a:rPr>
            <a:t>Add</a:t>
          </a:r>
          <a:r>
            <a:rPr lang="en-CA" sz="1100" b="1" baseline="0">
              <a:solidFill>
                <a:schemeClr val="tx1">
                  <a:lumMod val="65000"/>
                  <a:lumOff val="35000"/>
                </a:schemeClr>
              </a:solidFill>
              <a:effectLst/>
              <a:latin typeface="+mn-lt"/>
              <a:ea typeface="+mn-ea"/>
              <a:cs typeface="+mn-cs"/>
            </a:rPr>
            <a:t> to Cart</a:t>
          </a:r>
          <a:endParaRPr lang="en-CA" sz="1100">
            <a:solidFill>
              <a:schemeClr val="tx1">
                <a:lumMod val="65000"/>
                <a:lumOff val="35000"/>
              </a:schemeClr>
            </a:solidFill>
          </a:endParaRPr>
        </a:p>
      </xdr:txBody>
    </xdr:sp>
    <xdr:clientData/>
  </xdr:twoCellAnchor>
  <xdr:twoCellAnchor editAs="absolute">
    <xdr:from>
      <xdr:col>0</xdr:col>
      <xdr:colOff>95249</xdr:colOff>
      <xdr:row>28</xdr:row>
      <xdr:rowOff>158750</xdr:rowOff>
    </xdr:from>
    <xdr:to>
      <xdr:col>6</xdr:col>
      <xdr:colOff>333374</xdr:colOff>
      <xdr:row>32</xdr:row>
      <xdr:rowOff>6350</xdr:rowOff>
    </xdr:to>
    <xdr:sp macro="" textlink="">
      <xdr:nvSpPr>
        <xdr:cNvPr id="24" name="TextBox 23">
          <a:extLst>
            <a:ext uri="{FF2B5EF4-FFF2-40B4-BE49-F238E27FC236}">
              <a16:creationId xmlns:a16="http://schemas.microsoft.com/office/drawing/2014/main" id="{F3272DF2-64F7-DE8B-1671-CD24F0668364}"/>
            </a:ext>
          </a:extLst>
        </xdr:cNvPr>
        <xdr:cNvSpPr txBox="1"/>
      </xdr:nvSpPr>
      <xdr:spPr>
        <a:xfrm>
          <a:off x="95249" y="6000750"/>
          <a:ext cx="3895725" cy="933450"/>
        </a:xfrm>
        <a:prstGeom prst="rect">
          <a:avLst/>
        </a:prstGeom>
        <a:solidFill>
          <a:srgbClr val="82CCC5"/>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1100"/>
            <a:t>'Digital Interactions'</a:t>
          </a:r>
          <a:r>
            <a:rPr lang="en-CA" sz="1100" baseline="0"/>
            <a:t> here indicates how many of them the customer had in total prior to the cutoff date. Each of the 4 types of interactions counts as 1 seperate interaction.</a:t>
          </a:r>
          <a:endParaRPr lang="en-CA" sz="1100"/>
        </a:p>
      </xdr:txBody>
    </xdr:sp>
    <xdr:clientData/>
  </xdr:twoCellAnchor>
  <xdr:twoCellAnchor editAs="absolute">
    <xdr:from>
      <xdr:col>16</xdr:col>
      <xdr:colOff>68264</xdr:colOff>
      <xdr:row>8</xdr:row>
      <xdr:rowOff>38100</xdr:rowOff>
    </xdr:from>
    <xdr:to>
      <xdr:col>18</xdr:col>
      <xdr:colOff>76200</xdr:colOff>
      <xdr:row>9</xdr:row>
      <xdr:rowOff>101600</xdr:rowOff>
    </xdr:to>
    <xdr:sp macro="" textlink="">
      <xdr:nvSpPr>
        <xdr:cNvPr id="25" name="TextBox 24">
          <a:extLst>
            <a:ext uri="{FF2B5EF4-FFF2-40B4-BE49-F238E27FC236}">
              <a16:creationId xmlns:a16="http://schemas.microsoft.com/office/drawing/2014/main" id="{333EED2A-6BC9-33A2-C22E-BCB4D49A59F1}"/>
            </a:ext>
          </a:extLst>
        </xdr:cNvPr>
        <xdr:cNvSpPr txBox="1"/>
      </xdr:nvSpPr>
      <xdr:spPr>
        <a:xfrm>
          <a:off x="10279064" y="1562100"/>
          <a:ext cx="1312861" cy="254000"/>
        </a:xfrm>
        <a:prstGeom prst="rect">
          <a:avLst/>
        </a:prstGeom>
        <a:solidFill>
          <a:srgbClr val="82CCC5"/>
        </a:solidFill>
        <a:ln w="9525" cmpd="sng">
          <a:noFill/>
        </a:ln>
        <a:effectLst>
          <a:glow rad="101600">
            <a:srgbClr val="82CCC5">
              <a:alpha val="60000"/>
            </a:srgbClr>
          </a:glo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pp = percentage points</a:t>
          </a:r>
        </a:p>
      </xdr:txBody>
    </xdr:sp>
    <xdr:clientData/>
  </xdr:twoCellAnchor>
  <xdr:twoCellAnchor editAs="absolute">
    <xdr:from>
      <xdr:col>21</xdr:col>
      <xdr:colOff>123825</xdr:colOff>
      <xdr:row>0</xdr:row>
      <xdr:rowOff>114301</xdr:rowOff>
    </xdr:from>
    <xdr:to>
      <xdr:col>22</xdr:col>
      <xdr:colOff>561974</xdr:colOff>
      <xdr:row>15</xdr:row>
      <xdr:rowOff>9525</xdr:rowOff>
    </xdr:to>
    <xdr:sp macro="" textlink="">
      <xdr:nvSpPr>
        <xdr:cNvPr id="26" name="TextBox 25">
          <a:extLst>
            <a:ext uri="{FF2B5EF4-FFF2-40B4-BE49-F238E27FC236}">
              <a16:creationId xmlns:a16="http://schemas.microsoft.com/office/drawing/2014/main" id="{9E7EAF8B-20F4-420E-97CA-11F65FCC7E72}"/>
            </a:ext>
          </a:extLst>
        </xdr:cNvPr>
        <xdr:cNvSpPr txBox="1"/>
      </xdr:nvSpPr>
      <xdr:spPr>
        <a:xfrm>
          <a:off x="13611225" y="114301"/>
          <a:ext cx="1047749" cy="2752724"/>
        </a:xfrm>
        <a:prstGeom prst="rect">
          <a:avLst/>
        </a:prstGeom>
        <a:solidFill>
          <a:srgbClr val="82CCC5"/>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a:t>Each bar shows the difference in returning customer rate between customers who performed the behavior at least once before the cutoff and those who did not.</a:t>
          </a:r>
          <a:endParaRPr lang="en-CA" sz="1100"/>
        </a:p>
      </xdr:txBody>
    </xdr:sp>
    <xdr:clientData/>
  </xdr:twoCellAnchor>
  <xdr:twoCellAnchor editAs="absolute">
    <xdr:from>
      <xdr:col>21</xdr:col>
      <xdr:colOff>123825</xdr:colOff>
      <xdr:row>15</xdr:row>
      <xdr:rowOff>133350</xdr:rowOff>
    </xdr:from>
    <xdr:to>
      <xdr:col>22</xdr:col>
      <xdr:colOff>561975</xdr:colOff>
      <xdr:row>31</xdr:row>
      <xdr:rowOff>225424</xdr:rowOff>
    </xdr:to>
    <xdr:sp macro="" textlink="">
      <xdr:nvSpPr>
        <xdr:cNvPr id="27" name="TextBox 26">
          <a:extLst>
            <a:ext uri="{FF2B5EF4-FFF2-40B4-BE49-F238E27FC236}">
              <a16:creationId xmlns:a16="http://schemas.microsoft.com/office/drawing/2014/main" id="{4165AC5E-A710-2810-893C-C1C7317DF42B}"/>
            </a:ext>
          </a:extLst>
        </xdr:cNvPr>
        <xdr:cNvSpPr txBox="1"/>
      </xdr:nvSpPr>
      <xdr:spPr>
        <a:xfrm>
          <a:off x="13611225" y="2990850"/>
          <a:ext cx="1047750" cy="3933824"/>
        </a:xfrm>
        <a:prstGeom prst="rect">
          <a:avLst/>
        </a:prstGeom>
        <a:solidFill>
          <a:srgbClr val="82CCC5"/>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a:t>This visual compares average future revenue for customers who performed each digital behavior at least once before the cutoff, with customers who did not.</a:t>
          </a:r>
          <a:endParaRPr lang="en-CA" sz="1100"/>
        </a:p>
      </xdr:txBody>
    </xdr:sp>
    <xdr:clientData/>
  </xdr:twoCellAnchor>
  <xdr:twoCellAnchor editAs="absolute">
    <xdr:from>
      <xdr:col>0</xdr:col>
      <xdr:colOff>95250</xdr:colOff>
      <xdr:row>0</xdr:row>
      <xdr:rowOff>95250</xdr:rowOff>
    </xdr:from>
    <xdr:to>
      <xdr:col>6</xdr:col>
      <xdr:colOff>332994</xdr:colOff>
      <xdr:row>3</xdr:row>
      <xdr:rowOff>71437</xdr:rowOff>
    </xdr:to>
    <xdr:sp macro="" textlink="">
      <xdr:nvSpPr>
        <xdr:cNvPr id="30" name="TextBox 29">
          <a:extLst>
            <a:ext uri="{FF2B5EF4-FFF2-40B4-BE49-F238E27FC236}">
              <a16:creationId xmlns:a16="http://schemas.microsoft.com/office/drawing/2014/main" id="{BAEB037F-A4F2-4067-88A8-7FEEE4390179}"/>
            </a:ext>
          </a:extLst>
        </xdr:cNvPr>
        <xdr:cNvSpPr txBox="1"/>
      </xdr:nvSpPr>
      <xdr:spPr>
        <a:xfrm>
          <a:off x="95250" y="95250"/>
          <a:ext cx="3895344" cy="547687"/>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2800" b="1"/>
            <a:t>Digital Engagement</a:t>
          </a:r>
        </a:p>
      </xdr:txBody>
    </xdr:sp>
    <xdr:clientData/>
  </xdr:twoCellAnchor>
  <xdr:twoCellAnchor editAs="absolute">
    <xdr:from>
      <xdr:col>0</xdr:col>
      <xdr:colOff>85726</xdr:colOff>
      <xdr:row>3</xdr:row>
      <xdr:rowOff>180975</xdr:rowOff>
    </xdr:from>
    <xdr:to>
      <xdr:col>6</xdr:col>
      <xdr:colOff>323850</xdr:colOff>
      <xdr:row>10</xdr:row>
      <xdr:rowOff>66675</xdr:rowOff>
    </xdr:to>
    <xdr:sp macro="" textlink="">
      <xdr:nvSpPr>
        <xdr:cNvPr id="31" name="TextBox 30">
          <a:extLst>
            <a:ext uri="{FF2B5EF4-FFF2-40B4-BE49-F238E27FC236}">
              <a16:creationId xmlns:a16="http://schemas.microsoft.com/office/drawing/2014/main" id="{53AC928C-85D1-4586-BE21-89487FD2B753}"/>
            </a:ext>
          </a:extLst>
        </xdr:cNvPr>
        <xdr:cNvSpPr txBox="1"/>
      </xdr:nvSpPr>
      <xdr:spPr>
        <a:xfrm>
          <a:off x="85726" y="752475"/>
          <a:ext cx="3895724" cy="1219200"/>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1" i="0">
              <a:solidFill>
                <a:schemeClr val="dk1"/>
              </a:solidFill>
              <a:effectLst/>
              <a:latin typeface="+mn-lt"/>
              <a:ea typeface="+mn-ea"/>
              <a:cs typeface="+mn-cs"/>
            </a:rPr>
            <a:t>  </a:t>
          </a:r>
          <a:r>
            <a:rPr lang="en-US" sz="1100" b="1" i="0" u="sng">
              <a:solidFill>
                <a:schemeClr val="dk1"/>
              </a:solidFill>
              <a:effectLst/>
              <a:latin typeface="+mn-lt"/>
              <a:ea typeface="+mn-ea"/>
              <a:cs typeface="+mn-cs"/>
            </a:rPr>
            <a:t>Analysis Framework</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Cutoff Date: </a:t>
          </a:r>
          <a:r>
            <a:rPr lang="en-US" sz="900" b="0" i="0">
              <a:solidFill>
                <a:schemeClr val="dk1"/>
              </a:solidFill>
              <a:effectLst/>
              <a:latin typeface="+mn-lt"/>
              <a:ea typeface="+mn-ea"/>
              <a:cs typeface="+mn-cs"/>
            </a:rPr>
            <a:t>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Historical (Behavior) Period: </a:t>
          </a:r>
          <a:r>
            <a:rPr lang="en-US" sz="900" b="0" i="0">
              <a:solidFill>
                <a:schemeClr val="dk1"/>
              </a:solidFill>
              <a:effectLst/>
              <a:latin typeface="+mn-lt"/>
              <a:ea typeface="+mn-ea"/>
              <a:cs typeface="+mn-cs"/>
            </a:rPr>
            <a:t>Before 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Future (Outcome) Period: </a:t>
          </a:r>
          <a:r>
            <a:rPr lang="en-US" sz="900" b="0" i="0">
              <a:solidFill>
                <a:schemeClr val="dk1"/>
              </a:solidFill>
              <a:effectLst/>
              <a:latin typeface="+mn-lt"/>
              <a:ea typeface="+mn-ea"/>
              <a:cs typeface="+mn-cs"/>
            </a:rPr>
            <a:t>Dec 1st, 2025 onward</a:t>
          </a:r>
        </a:p>
      </xdr:txBody>
    </xdr:sp>
    <xdr:clientData/>
  </xdr:twoCellAnchor>
  <xdr:twoCellAnchor editAs="absolute">
    <xdr:from>
      <xdr:col>18</xdr:col>
      <xdr:colOff>209550</xdr:colOff>
      <xdr:row>17</xdr:row>
      <xdr:rowOff>152400</xdr:rowOff>
    </xdr:from>
    <xdr:to>
      <xdr:col>21</xdr:col>
      <xdr:colOff>571500</xdr:colOff>
      <xdr:row>18</xdr:row>
      <xdr:rowOff>304800</xdr:rowOff>
    </xdr:to>
    <xdr:sp macro="" textlink="">
      <xdr:nvSpPr>
        <xdr:cNvPr id="32" name="TextBox 31">
          <a:extLst>
            <a:ext uri="{FF2B5EF4-FFF2-40B4-BE49-F238E27FC236}">
              <a16:creationId xmlns:a16="http://schemas.microsoft.com/office/drawing/2014/main" id="{401FAC68-B8B9-2F1E-465D-7694396292FD}"/>
            </a:ext>
          </a:extLst>
        </xdr:cNvPr>
        <xdr:cNvSpPr txBox="1"/>
      </xdr:nvSpPr>
      <xdr:spPr>
        <a:xfrm>
          <a:off x="11210925" y="3333750"/>
          <a:ext cx="28479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tx1">
                  <a:lumMod val="75000"/>
                  <a:lumOff val="25000"/>
                </a:schemeClr>
              </a:solidFill>
            </a:rPr>
            <a:t>Revenue Difference ($)      Increase (%)</a:t>
          </a:r>
        </a:p>
      </xdr:txBody>
    </xdr:sp>
    <xdr:clientData/>
  </xdr:twoCellAnchor>
  <xdr:twoCellAnchor>
    <xdr:from>
      <xdr:col>19</xdr:col>
      <xdr:colOff>0</xdr:colOff>
      <xdr:row>18</xdr:row>
      <xdr:rowOff>285750</xdr:rowOff>
    </xdr:from>
    <xdr:to>
      <xdr:col>20</xdr:col>
      <xdr:colOff>825500</xdr:colOff>
      <xdr:row>18</xdr:row>
      <xdr:rowOff>285750</xdr:rowOff>
    </xdr:to>
    <xdr:cxnSp macro="">
      <xdr:nvCxnSpPr>
        <xdr:cNvPr id="49" name="Straight Connector 48">
          <a:extLst>
            <a:ext uri="{FF2B5EF4-FFF2-40B4-BE49-F238E27FC236}">
              <a16:creationId xmlns:a16="http://schemas.microsoft.com/office/drawing/2014/main" id="{4BFB6895-8284-A1B2-1741-CFAE0CED5583}"/>
            </a:ext>
          </a:extLst>
        </xdr:cNvPr>
        <xdr:cNvCxnSpPr/>
      </xdr:nvCxnSpPr>
      <xdr:spPr>
        <a:xfrm>
          <a:off x="11252200" y="3702050"/>
          <a:ext cx="2235200" cy="0"/>
        </a:xfrm>
        <a:prstGeom prst="line">
          <a:avLst/>
        </a:prstGeom>
        <a:ln>
          <a:solidFill>
            <a:srgbClr val="014D4E"/>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1403350</xdr:colOff>
      <xdr:row>16</xdr:row>
      <xdr:rowOff>0</xdr:rowOff>
    </xdr:from>
    <xdr:to>
      <xdr:col>19</xdr:col>
      <xdr:colOff>1403350</xdr:colOff>
      <xdr:row>31</xdr:row>
      <xdr:rowOff>285750</xdr:rowOff>
    </xdr:to>
    <xdr:cxnSp macro="">
      <xdr:nvCxnSpPr>
        <xdr:cNvPr id="54" name="Straight Connector 53">
          <a:extLst>
            <a:ext uri="{FF2B5EF4-FFF2-40B4-BE49-F238E27FC236}">
              <a16:creationId xmlns:a16="http://schemas.microsoft.com/office/drawing/2014/main" id="{AC64A949-6416-AB91-46CB-F3606B943FA7}"/>
            </a:ext>
          </a:extLst>
        </xdr:cNvPr>
        <xdr:cNvCxnSpPr/>
      </xdr:nvCxnSpPr>
      <xdr:spPr>
        <a:xfrm>
          <a:off x="13233400" y="2997200"/>
          <a:ext cx="0" cy="3924300"/>
        </a:xfrm>
        <a:prstGeom prst="line">
          <a:avLst/>
        </a:prstGeom>
        <a:ln>
          <a:solidFill>
            <a:srgbClr val="014D4E"/>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100012</xdr:colOff>
      <xdr:row>11</xdr:row>
      <xdr:rowOff>23811</xdr:rowOff>
    </xdr:from>
    <xdr:to>
      <xdr:col>7</xdr:col>
      <xdr:colOff>407193</xdr:colOff>
      <xdr:row>32</xdr:row>
      <xdr:rowOff>66675</xdr:rowOff>
    </xdr:to>
    <xdr:graphicFrame macro="">
      <xdr:nvGraphicFramePr>
        <xdr:cNvPr id="2" name="Chart 1">
          <a:extLst>
            <a:ext uri="{FF2B5EF4-FFF2-40B4-BE49-F238E27FC236}">
              <a16:creationId xmlns:a16="http://schemas.microsoft.com/office/drawing/2014/main" id="{0002C600-38F2-72F8-B798-220845DF2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542925</xdr:colOff>
      <xdr:row>0</xdr:row>
      <xdr:rowOff>109537</xdr:rowOff>
    </xdr:from>
    <xdr:to>
      <xdr:col>22</xdr:col>
      <xdr:colOff>361950</xdr:colOff>
      <xdr:row>17</xdr:row>
      <xdr:rowOff>142875</xdr:rowOff>
    </xdr:to>
    <xdr:graphicFrame macro="">
      <xdr:nvGraphicFramePr>
        <xdr:cNvPr id="3" name="Chart 2">
          <a:extLst>
            <a:ext uri="{FF2B5EF4-FFF2-40B4-BE49-F238E27FC236}">
              <a16:creationId xmlns:a16="http://schemas.microsoft.com/office/drawing/2014/main" id="{901C9405-979C-66E6-DE96-E145B785B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538161</xdr:colOff>
      <xdr:row>18</xdr:row>
      <xdr:rowOff>109536</xdr:rowOff>
    </xdr:from>
    <xdr:to>
      <xdr:col>21</xdr:col>
      <xdr:colOff>438150</xdr:colOff>
      <xdr:row>36</xdr:row>
      <xdr:rowOff>57149</xdr:rowOff>
    </xdr:to>
    <xdr:graphicFrame macro="">
      <xdr:nvGraphicFramePr>
        <xdr:cNvPr id="4" name="Chart 3">
          <a:extLst>
            <a:ext uri="{FF2B5EF4-FFF2-40B4-BE49-F238E27FC236}">
              <a16:creationId xmlns:a16="http://schemas.microsoft.com/office/drawing/2014/main" id="{F4A3DA8D-E129-59AE-3631-6B3DDCA81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102394</xdr:colOff>
      <xdr:row>32</xdr:row>
      <xdr:rowOff>171450</xdr:rowOff>
    </xdr:from>
    <xdr:to>
      <xdr:col>7</xdr:col>
      <xdr:colOff>419100</xdr:colOff>
      <xdr:row>36</xdr:row>
      <xdr:rowOff>57149</xdr:rowOff>
    </xdr:to>
    <xdr:sp macro="" textlink="">
      <xdr:nvSpPr>
        <xdr:cNvPr id="5" name="TextBox 4">
          <a:extLst>
            <a:ext uri="{FF2B5EF4-FFF2-40B4-BE49-F238E27FC236}">
              <a16:creationId xmlns:a16="http://schemas.microsoft.com/office/drawing/2014/main" id="{7B0818D1-8E58-8AAC-55C0-B45EE514845B}"/>
            </a:ext>
          </a:extLst>
        </xdr:cNvPr>
        <xdr:cNvSpPr txBox="1"/>
      </xdr:nvSpPr>
      <xdr:spPr>
        <a:xfrm>
          <a:off x="102394" y="6267450"/>
          <a:ext cx="4583906" cy="647699"/>
        </a:xfrm>
        <a:prstGeom prst="rect">
          <a:avLst/>
        </a:prstGeom>
        <a:solidFill>
          <a:schemeClr val="accent2">
            <a:lumMod val="40000"/>
            <a:lumOff val="60000"/>
          </a:schemeClr>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b="0"/>
            <a:t>A customer support request represents a customer contacting customer service about an issue or need for assistance. Each recorded support case counts as one request.</a:t>
          </a:r>
          <a:endParaRPr lang="en-CA" sz="1100" b="0"/>
        </a:p>
      </xdr:txBody>
    </xdr:sp>
    <xdr:clientData/>
  </xdr:twoCellAnchor>
  <xdr:twoCellAnchor editAs="absolute">
    <xdr:from>
      <xdr:col>22</xdr:col>
      <xdr:colOff>485775</xdr:colOff>
      <xdr:row>0</xdr:row>
      <xdr:rowOff>104775</xdr:rowOff>
    </xdr:from>
    <xdr:to>
      <xdr:col>24</xdr:col>
      <xdr:colOff>28574</xdr:colOff>
      <xdr:row>17</xdr:row>
      <xdr:rowOff>161925</xdr:rowOff>
    </xdr:to>
    <xdr:sp macro="" textlink="">
      <xdr:nvSpPr>
        <xdr:cNvPr id="6" name="TextBox 5">
          <a:extLst>
            <a:ext uri="{FF2B5EF4-FFF2-40B4-BE49-F238E27FC236}">
              <a16:creationId xmlns:a16="http://schemas.microsoft.com/office/drawing/2014/main" id="{8AB17DB7-934D-F0CC-312A-494105FBA6BC}"/>
            </a:ext>
          </a:extLst>
        </xdr:cNvPr>
        <xdr:cNvSpPr txBox="1"/>
      </xdr:nvSpPr>
      <xdr:spPr>
        <a:xfrm>
          <a:off x="13896975" y="104775"/>
          <a:ext cx="761999" cy="3295650"/>
        </a:xfrm>
        <a:prstGeom prst="rect">
          <a:avLst/>
        </a:prstGeom>
        <a:solidFill>
          <a:schemeClr val="accent2">
            <a:lumMod val="40000"/>
            <a:lumOff val="60000"/>
          </a:schemeClr>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b="0"/>
            <a:t>Avgerage support resolution time is</a:t>
          </a:r>
          <a:r>
            <a:rPr lang="en-CA" b="0" baseline="0"/>
            <a:t> </a:t>
          </a:r>
          <a:r>
            <a:rPr lang="en-CA" b="0"/>
            <a:t>the average time taken to resolve a single</a:t>
          </a:r>
          <a:r>
            <a:rPr lang="en-CA" b="0" baseline="0"/>
            <a:t> customer</a:t>
          </a:r>
          <a:r>
            <a:rPr lang="en-CA" b="0"/>
            <a:t> support request.</a:t>
          </a:r>
          <a:endParaRPr lang="en-CA" sz="1100" b="0"/>
        </a:p>
      </xdr:txBody>
    </xdr:sp>
    <xdr:clientData/>
  </xdr:twoCellAnchor>
  <xdr:twoCellAnchor editAs="absolute">
    <xdr:from>
      <xdr:col>21</xdr:col>
      <xdr:colOff>561975</xdr:colOff>
      <xdr:row>18</xdr:row>
      <xdr:rowOff>104775</xdr:rowOff>
    </xdr:from>
    <xdr:to>
      <xdr:col>24</xdr:col>
      <xdr:colOff>28575</xdr:colOff>
      <xdr:row>36</xdr:row>
      <xdr:rowOff>76200</xdr:rowOff>
    </xdr:to>
    <xdr:sp macro="" textlink="">
      <xdr:nvSpPr>
        <xdr:cNvPr id="7" name="TextBox 6">
          <a:extLst>
            <a:ext uri="{FF2B5EF4-FFF2-40B4-BE49-F238E27FC236}">
              <a16:creationId xmlns:a16="http://schemas.microsoft.com/office/drawing/2014/main" id="{0E45C37D-080F-9FA6-9B69-262836F9AC68}"/>
            </a:ext>
          </a:extLst>
        </xdr:cNvPr>
        <xdr:cNvSpPr txBox="1"/>
      </xdr:nvSpPr>
      <xdr:spPr>
        <a:xfrm>
          <a:off x="13363575" y="3533775"/>
          <a:ext cx="1295400" cy="3400425"/>
        </a:xfrm>
        <a:prstGeom prst="rect">
          <a:avLst/>
        </a:prstGeom>
        <a:solidFill>
          <a:schemeClr val="accent2">
            <a:lumMod val="40000"/>
            <a:lumOff val="60000"/>
          </a:schemeClr>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CA" b="0"/>
            <a:t>Each customer support request is assigned a sentiment label—positive, neutral, or negative—based on the support experience.</a:t>
          </a:r>
        </a:p>
        <a:p>
          <a:endParaRPr lang="en-CA" b="0"/>
        </a:p>
        <a:p>
          <a:r>
            <a:rPr lang="en-CA" b="0"/>
            <a:t>A customer's overall historical support sentiment is based on the sentiment of their most recent support request before the cutoff date.</a:t>
          </a:r>
        </a:p>
        <a:p>
          <a:endParaRPr lang="en-CA" sz="1100" b="0"/>
        </a:p>
      </xdr:txBody>
    </xdr:sp>
    <xdr:clientData/>
  </xdr:twoCellAnchor>
  <xdr:twoCellAnchor editAs="absolute">
    <xdr:from>
      <xdr:col>0</xdr:col>
      <xdr:colOff>104774</xdr:colOff>
      <xdr:row>0</xdr:row>
      <xdr:rowOff>114300</xdr:rowOff>
    </xdr:from>
    <xdr:to>
      <xdr:col>7</xdr:col>
      <xdr:colOff>400050</xdr:colOff>
      <xdr:row>3</xdr:row>
      <xdr:rowOff>90487</xdr:rowOff>
    </xdr:to>
    <xdr:sp macro="" textlink="">
      <xdr:nvSpPr>
        <xdr:cNvPr id="10" name="TextBox 9">
          <a:extLst>
            <a:ext uri="{FF2B5EF4-FFF2-40B4-BE49-F238E27FC236}">
              <a16:creationId xmlns:a16="http://schemas.microsoft.com/office/drawing/2014/main" id="{3BB2F7D6-7A77-4614-85B3-E69100174BE1}"/>
            </a:ext>
          </a:extLst>
        </xdr:cNvPr>
        <xdr:cNvSpPr txBox="1"/>
      </xdr:nvSpPr>
      <xdr:spPr>
        <a:xfrm>
          <a:off x="104774" y="114300"/>
          <a:ext cx="4562476" cy="547687"/>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2800" b="1"/>
            <a:t>Support Experience</a:t>
          </a:r>
        </a:p>
      </xdr:txBody>
    </xdr:sp>
    <xdr:clientData/>
  </xdr:twoCellAnchor>
  <xdr:twoCellAnchor editAs="absolute">
    <xdr:from>
      <xdr:col>0</xdr:col>
      <xdr:colOff>95250</xdr:colOff>
      <xdr:row>4</xdr:row>
      <xdr:rowOff>9525</xdr:rowOff>
    </xdr:from>
    <xdr:to>
      <xdr:col>7</xdr:col>
      <xdr:colOff>390525</xdr:colOff>
      <xdr:row>10</xdr:row>
      <xdr:rowOff>85725</xdr:rowOff>
    </xdr:to>
    <xdr:sp macro="" textlink="">
      <xdr:nvSpPr>
        <xdr:cNvPr id="11" name="TextBox 10">
          <a:extLst>
            <a:ext uri="{FF2B5EF4-FFF2-40B4-BE49-F238E27FC236}">
              <a16:creationId xmlns:a16="http://schemas.microsoft.com/office/drawing/2014/main" id="{C334772C-2020-4E80-9155-3A3AD837FC7F}"/>
            </a:ext>
          </a:extLst>
        </xdr:cNvPr>
        <xdr:cNvSpPr txBox="1"/>
      </xdr:nvSpPr>
      <xdr:spPr>
        <a:xfrm>
          <a:off x="95250" y="771525"/>
          <a:ext cx="4562475" cy="1219200"/>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1" i="0">
              <a:solidFill>
                <a:schemeClr val="dk1"/>
              </a:solidFill>
              <a:effectLst/>
              <a:latin typeface="+mn-lt"/>
              <a:ea typeface="+mn-ea"/>
              <a:cs typeface="+mn-cs"/>
            </a:rPr>
            <a:t>  </a:t>
          </a:r>
          <a:r>
            <a:rPr lang="en-US" sz="1100" b="1" i="0" u="sng">
              <a:solidFill>
                <a:schemeClr val="dk1"/>
              </a:solidFill>
              <a:effectLst/>
              <a:latin typeface="+mn-lt"/>
              <a:ea typeface="+mn-ea"/>
              <a:cs typeface="+mn-cs"/>
            </a:rPr>
            <a:t>Analysis Framework</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Cutoff Date: </a:t>
          </a:r>
          <a:r>
            <a:rPr lang="en-US" sz="900" b="0" i="0">
              <a:solidFill>
                <a:schemeClr val="dk1"/>
              </a:solidFill>
              <a:effectLst/>
              <a:latin typeface="+mn-lt"/>
              <a:ea typeface="+mn-ea"/>
              <a:cs typeface="+mn-cs"/>
            </a:rPr>
            <a:t>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Historical (Behavior) Period: </a:t>
          </a:r>
          <a:r>
            <a:rPr lang="en-US" sz="900" b="0" i="0">
              <a:solidFill>
                <a:schemeClr val="dk1"/>
              </a:solidFill>
              <a:effectLst/>
              <a:latin typeface="+mn-lt"/>
              <a:ea typeface="+mn-ea"/>
              <a:cs typeface="+mn-cs"/>
            </a:rPr>
            <a:t>Before 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Future (Outcome) Period: </a:t>
          </a:r>
          <a:r>
            <a:rPr lang="en-US" sz="900" b="0" i="0">
              <a:solidFill>
                <a:schemeClr val="dk1"/>
              </a:solidFill>
              <a:effectLst/>
              <a:latin typeface="+mn-lt"/>
              <a:ea typeface="+mn-ea"/>
              <a:cs typeface="+mn-cs"/>
            </a:rPr>
            <a:t>Dec 1st, 2025 onward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266699</xdr:colOff>
      <xdr:row>0</xdr:row>
      <xdr:rowOff>123825</xdr:rowOff>
    </xdr:from>
    <xdr:to>
      <xdr:col>24</xdr:col>
      <xdr:colOff>85725</xdr:colOff>
      <xdr:row>20</xdr:row>
      <xdr:rowOff>38101</xdr:rowOff>
    </xdr:to>
    <xdr:sp macro="" textlink="">
      <xdr:nvSpPr>
        <xdr:cNvPr id="46" name="Rectangle 45">
          <a:extLst>
            <a:ext uri="{FF2B5EF4-FFF2-40B4-BE49-F238E27FC236}">
              <a16:creationId xmlns:a16="http://schemas.microsoft.com/office/drawing/2014/main" id="{FA2BFD7A-3432-E94D-70BF-E38BD2ABCBF9}"/>
            </a:ext>
          </a:extLst>
        </xdr:cNvPr>
        <xdr:cNvSpPr/>
      </xdr:nvSpPr>
      <xdr:spPr>
        <a:xfrm>
          <a:off x="6010274" y="123825"/>
          <a:ext cx="9334501" cy="3533776"/>
        </a:xfrm>
        <a:prstGeom prst="rect">
          <a:avLst/>
        </a:prstGeom>
        <a:solidFill>
          <a:schemeClr val="bg1"/>
        </a:solidFill>
        <a:ln>
          <a:noFill/>
        </a:ln>
        <a:effectLst>
          <a:outerShdw blurRad="50800" dist="38100" dir="2700000" algn="tl"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20</xdr:col>
      <xdr:colOff>323850</xdr:colOff>
      <xdr:row>0</xdr:row>
      <xdr:rowOff>190499</xdr:rowOff>
    </xdr:from>
    <xdr:to>
      <xdr:col>23</xdr:col>
      <xdr:colOff>598170</xdr:colOff>
      <xdr:row>19</xdr:row>
      <xdr:rowOff>137159</xdr:rowOff>
    </xdr:to>
    <xdr:sp macro="" textlink="">
      <xdr:nvSpPr>
        <xdr:cNvPr id="24" name="Rectangle 23">
          <a:extLst>
            <a:ext uri="{FF2B5EF4-FFF2-40B4-BE49-F238E27FC236}">
              <a16:creationId xmlns:a16="http://schemas.microsoft.com/office/drawing/2014/main" id="{2674AD7F-80F4-44EC-B613-B4872812A37E}"/>
            </a:ext>
          </a:extLst>
        </xdr:cNvPr>
        <xdr:cNvSpPr/>
      </xdr:nvSpPr>
      <xdr:spPr>
        <a:xfrm>
          <a:off x="12458700" y="190499"/>
          <a:ext cx="2103120" cy="3566160"/>
        </a:xfrm>
        <a:prstGeom prst="rect">
          <a:avLst/>
        </a:prstGeom>
        <a:solidFill>
          <a:srgbClr val="FFDFBF"/>
        </a:solidFill>
        <a:ln>
          <a:noFill/>
        </a:ln>
        <a:effectLst>
          <a:outerShdw blurRad="50800" dist="38100" dir="2700000" algn="tl"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16</xdr:col>
      <xdr:colOff>555625</xdr:colOff>
      <xdr:row>0</xdr:row>
      <xdr:rowOff>190499</xdr:rowOff>
    </xdr:from>
    <xdr:to>
      <xdr:col>20</xdr:col>
      <xdr:colOff>220345</xdr:colOff>
      <xdr:row>19</xdr:row>
      <xdr:rowOff>137159</xdr:rowOff>
    </xdr:to>
    <xdr:sp macro="" textlink="">
      <xdr:nvSpPr>
        <xdr:cNvPr id="23" name="Rectangle 22">
          <a:extLst>
            <a:ext uri="{FF2B5EF4-FFF2-40B4-BE49-F238E27FC236}">
              <a16:creationId xmlns:a16="http://schemas.microsoft.com/office/drawing/2014/main" id="{C5E35870-B9CF-4FBF-B048-76B1C57B6C33}"/>
            </a:ext>
          </a:extLst>
        </xdr:cNvPr>
        <xdr:cNvSpPr/>
      </xdr:nvSpPr>
      <xdr:spPr>
        <a:xfrm>
          <a:off x="10252075" y="190499"/>
          <a:ext cx="2103120" cy="3566160"/>
        </a:xfrm>
        <a:prstGeom prst="rect">
          <a:avLst/>
        </a:prstGeom>
        <a:solidFill>
          <a:srgbClr val="B3D9D9"/>
        </a:solidFill>
        <a:ln>
          <a:noFill/>
        </a:ln>
        <a:effectLst>
          <a:outerShdw blurRad="50800" dist="38100" dir="2700000" algn="tl"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13</xdr:col>
      <xdr:colOff>177800</xdr:colOff>
      <xdr:row>0</xdr:row>
      <xdr:rowOff>190499</xdr:rowOff>
    </xdr:from>
    <xdr:to>
      <xdr:col>16</xdr:col>
      <xdr:colOff>452120</xdr:colOff>
      <xdr:row>19</xdr:row>
      <xdr:rowOff>137159</xdr:rowOff>
    </xdr:to>
    <xdr:sp macro="" textlink="">
      <xdr:nvSpPr>
        <xdr:cNvPr id="22" name="Rectangle 21">
          <a:extLst>
            <a:ext uri="{FF2B5EF4-FFF2-40B4-BE49-F238E27FC236}">
              <a16:creationId xmlns:a16="http://schemas.microsoft.com/office/drawing/2014/main" id="{0788D87B-B0C4-4D34-A245-D37021EB1858}"/>
            </a:ext>
          </a:extLst>
        </xdr:cNvPr>
        <xdr:cNvSpPr/>
      </xdr:nvSpPr>
      <xdr:spPr>
        <a:xfrm>
          <a:off x="8045450" y="190499"/>
          <a:ext cx="2103120" cy="3566160"/>
        </a:xfrm>
        <a:prstGeom prst="rect">
          <a:avLst/>
        </a:prstGeom>
        <a:solidFill>
          <a:schemeClr val="accent6">
            <a:lumMod val="20000"/>
            <a:lumOff val="80000"/>
          </a:schemeClr>
        </a:solidFill>
        <a:ln>
          <a:noFill/>
        </a:ln>
        <a:effectLst>
          <a:outerShdw blurRad="50800" dist="38100" dir="2700000" algn="tl"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9</xdr:col>
      <xdr:colOff>352425</xdr:colOff>
      <xdr:row>1</xdr:row>
      <xdr:rowOff>0</xdr:rowOff>
    </xdr:from>
    <xdr:to>
      <xdr:col>13</xdr:col>
      <xdr:colOff>74295</xdr:colOff>
      <xdr:row>19</xdr:row>
      <xdr:rowOff>137160</xdr:rowOff>
    </xdr:to>
    <xdr:sp macro="" textlink="">
      <xdr:nvSpPr>
        <xdr:cNvPr id="21" name="Rectangle 20">
          <a:extLst>
            <a:ext uri="{FF2B5EF4-FFF2-40B4-BE49-F238E27FC236}">
              <a16:creationId xmlns:a16="http://schemas.microsoft.com/office/drawing/2014/main" id="{C9F1B498-F23E-9FA0-F5C0-22E3D2AF60BD}"/>
            </a:ext>
          </a:extLst>
        </xdr:cNvPr>
        <xdr:cNvSpPr/>
      </xdr:nvSpPr>
      <xdr:spPr>
        <a:xfrm>
          <a:off x="5838825" y="190500"/>
          <a:ext cx="2103120" cy="3566160"/>
        </a:xfrm>
        <a:prstGeom prst="rect">
          <a:avLst/>
        </a:prstGeom>
        <a:solidFill>
          <a:schemeClr val="tx2">
            <a:lumMod val="25000"/>
            <a:lumOff val="75000"/>
          </a:schemeClr>
        </a:solidFill>
        <a:ln>
          <a:noFill/>
        </a:ln>
        <a:effectLst>
          <a:outerShdw blurRad="50800" dist="38100" dir="2700000" algn="tl"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82550</xdr:colOff>
      <xdr:row>6</xdr:row>
      <xdr:rowOff>47625</xdr:rowOff>
    </xdr:from>
    <xdr:to>
      <xdr:col>7</xdr:col>
      <xdr:colOff>215901</xdr:colOff>
      <xdr:row>14</xdr:row>
      <xdr:rowOff>111125</xdr:rowOff>
    </xdr:to>
    <xdr:sp macro="" textlink="">
      <xdr:nvSpPr>
        <xdr:cNvPr id="2" name="TextBox 1">
          <a:extLst>
            <a:ext uri="{FF2B5EF4-FFF2-40B4-BE49-F238E27FC236}">
              <a16:creationId xmlns:a16="http://schemas.microsoft.com/office/drawing/2014/main" id="{87FF7FAE-FF39-6077-A225-E88A0D2615E6}"/>
            </a:ext>
          </a:extLst>
        </xdr:cNvPr>
        <xdr:cNvSpPr txBox="1"/>
      </xdr:nvSpPr>
      <xdr:spPr>
        <a:xfrm>
          <a:off x="82550" y="1133475"/>
          <a:ext cx="4600576" cy="1511300"/>
        </a:xfrm>
        <a:prstGeom prst="rect">
          <a:avLst/>
        </a:prstGeom>
        <a:solidFill>
          <a:schemeClr val="lt1"/>
        </a:solidFill>
        <a:ln w="9525" cmpd="sng">
          <a:solidFill>
            <a:schemeClr val="lt1">
              <a:shade val="50000"/>
            </a:schemeClr>
          </a:solid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800"/>
            <a:t>Which customer behaviors and experiences are the strongest indicators of future repeat purchasing and</a:t>
          </a:r>
          <a:r>
            <a:rPr lang="en-CA" sz="1800" baseline="0"/>
            <a:t> </a:t>
          </a:r>
          <a:r>
            <a:rPr lang="en-CA" sz="1800"/>
            <a:t>revenue, and which customer segments should the company prioritize for retention?</a:t>
          </a:r>
        </a:p>
        <a:p>
          <a:endParaRPr lang="en-CA" sz="1800"/>
        </a:p>
        <a:p>
          <a:endParaRPr lang="en-CA" sz="1800"/>
        </a:p>
      </xdr:txBody>
    </xdr:sp>
    <xdr:clientData/>
  </xdr:twoCellAnchor>
  <xdr:twoCellAnchor>
    <xdr:from>
      <xdr:col>13</xdr:col>
      <xdr:colOff>197827</xdr:colOff>
      <xdr:row>4</xdr:row>
      <xdr:rowOff>1</xdr:rowOff>
    </xdr:from>
    <xdr:to>
      <xdr:col>16</xdr:col>
      <xdr:colOff>378802</xdr:colOff>
      <xdr:row>11</xdr:row>
      <xdr:rowOff>27309</xdr:rowOff>
    </xdr:to>
    <xdr:sp macro="" textlink="">
      <xdr:nvSpPr>
        <xdr:cNvPr id="3" name="TextBox 2">
          <a:extLst>
            <a:ext uri="{FF2B5EF4-FFF2-40B4-BE49-F238E27FC236}">
              <a16:creationId xmlns:a16="http://schemas.microsoft.com/office/drawing/2014/main" id="{687AB64A-C03F-3A88-1AA5-ADEE0190C2CD}"/>
            </a:ext>
          </a:extLst>
        </xdr:cNvPr>
        <xdr:cNvSpPr txBox="1"/>
      </xdr:nvSpPr>
      <xdr:spPr>
        <a:xfrm>
          <a:off x="8425962" y="732693"/>
          <a:ext cx="2093302" cy="1309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t>Purchase frequency is a strong retention indicator</a:t>
          </a:r>
          <a:br>
            <a:rPr lang="en-CA" sz="1000"/>
          </a:br>
          <a:endParaRPr lang="en-CA" sz="1000"/>
        </a:p>
        <a:p>
          <a:r>
            <a:rPr lang="en-CA" sz="1000" b="0"/>
            <a:t>Customers with 9+ historical orders returned at 37.6%, versus roughly 30–32% among customers with fewer orders</a:t>
          </a:r>
        </a:p>
      </xdr:txBody>
    </xdr:sp>
    <xdr:clientData/>
  </xdr:twoCellAnchor>
  <xdr:twoCellAnchor>
    <xdr:from>
      <xdr:col>16</xdr:col>
      <xdr:colOff>620590</xdr:colOff>
      <xdr:row>11</xdr:row>
      <xdr:rowOff>86457</xdr:rowOff>
    </xdr:from>
    <xdr:to>
      <xdr:col>20</xdr:col>
      <xdr:colOff>275248</xdr:colOff>
      <xdr:row>18</xdr:row>
      <xdr:rowOff>143364</xdr:rowOff>
    </xdr:to>
    <xdr:sp macro="" textlink="">
      <xdr:nvSpPr>
        <xdr:cNvPr id="4" name="TextBox 3">
          <a:extLst>
            <a:ext uri="{FF2B5EF4-FFF2-40B4-BE49-F238E27FC236}">
              <a16:creationId xmlns:a16="http://schemas.microsoft.com/office/drawing/2014/main" id="{6170394E-E6E5-4360-9673-C346B3828F65}"/>
            </a:ext>
          </a:extLst>
        </xdr:cNvPr>
        <xdr:cNvSpPr txBox="1"/>
      </xdr:nvSpPr>
      <xdr:spPr>
        <a:xfrm>
          <a:off x="10761052" y="2101361"/>
          <a:ext cx="2204427" cy="1339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t>High digital engagement is associated with stronger retention</a:t>
          </a:r>
        </a:p>
        <a:p>
          <a:br>
            <a:rPr lang="en-CA" sz="1000"/>
          </a:br>
          <a:r>
            <a:rPr lang="en-CA" sz="1000" b="0"/>
            <a:t>Customers with 9+ digital interactions returned at 33.7%, compared with approximately 31% across lower engagement levels</a:t>
          </a:r>
        </a:p>
      </xdr:txBody>
    </xdr:sp>
    <xdr:clientData/>
  </xdr:twoCellAnchor>
  <xdr:twoCellAnchor>
    <xdr:from>
      <xdr:col>16</xdr:col>
      <xdr:colOff>620590</xdr:colOff>
      <xdr:row>4</xdr:row>
      <xdr:rowOff>1</xdr:rowOff>
    </xdr:from>
    <xdr:to>
      <xdr:col>20</xdr:col>
      <xdr:colOff>169740</xdr:colOff>
      <xdr:row>11</xdr:row>
      <xdr:rowOff>152401</xdr:rowOff>
    </xdr:to>
    <xdr:sp macro="" textlink="">
      <xdr:nvSpPr>
        <xdr:cNvPr id="5" name="TextBox 4">
          <a:extLst>
            <a:ext uri="{FF2B5EF4-FFF2-40B4-BE49-F238E27FC236}">
              <a16:creationId xmlns:a16="http://schemas.microsoft.com/office/drawing/2014/main" id="{AAC6829C-08A6-45F0-8072-40ED7BDC0690}"/>
            </a:ext>
          </a:extLst>
        </xdr:cNvPr>
        <xdr:cNvSpPr txBox="1"/>
      </xdr:nvSpPr>
      <xdr:spPr>
        <a:xfrm>
          <a:off x="10761052" y="732693"/>
          <a:ext cx="2098919" cy="1434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t>Retention and future</a:t>
          </a:r>
          <a:r>
            <a:rPr lang="en-CA" sz="1000" b="1" baseline="0"/>
            <a:t> revenue </a:t>
          </a:r>
          <a:r>
            <a:rPr lang="en-CA" sz="1000" b="1"/>
            <a:t>signals can conflict</a:t>
          </a:r>
        </a:p>
        <a:p>
          <a:br>
            <a:rPr lang="en-CA" sz="1000"/>
          </a:br>
          <a:r>
            <a:rPr lang="en-CA" sz="1000"/>
            <a:t>'</a:t>
          </a:r>
          <a:r>
            <a:rPr lang="en-CA" sz="1000" b="0"/>
            <a:t>Page View' was associated with a </a:t>
          </a:r>
          <a:r>
            <a:rPr lang="en-CA" sz="1000"/>
            <a:t>+2.71 percentage points in returning customer rate</a:t>
          </a:r>
          <a:r>
            <a:rPr lang="en-CA" sz="1000" b="0"/>
            <a:t>, yet customers performing it generated 18.6% less average future revenue</a:t>
          </a:r>
        </a:p>
      </xdr:txBody>
    </xdr:sp>
    <xdr:clientData/>
  </xdr:twoCellAnchor>
  <xdr:twoCellAnchor>
    <xdr:from>
      <xdr:col>20</xdr:col>
      <xdr:colOff>381000</xdr:colOff>
      <xdr:row>4</xdr:row>
      <xdr:rowOff>1</xdr:rowOff>
    </xdr:from>
    <xdr:to>
      <xdr:col>23</xdr:col>
      <xdr:colOff>558800</xdr:colOff>
      <xdr:row>12</xdr:row>
      <xdr:rowOff>19051</xdr:rowOff>
    </xdr:to>
    <xdr:sp macro="" textlink="">
      <xdr:nvSpPr>
        <xdr:cNvPr id="6" name="TextBox 5">
          <a:extLst>
            <a:ext uri="{FF2B5EF4-FFF2-40B4-BE49-F238E27FC236}">
              <a16:creationId xmlns:a16="http://schemas.microsoft.com/office/drawing/2014/main" id="{69F45365-6F6D-4F9B-889B-741DD5C62014}"/>
            </a:ext>
          </a:extLst>
        </xdr:cNvPr>
        <xdr:cNvSpPr txBox="1"/>
      </xdr:nvSpPr>
      <xdr:spPr>
        <a:xfrm>
          <a:off x="13071231" y="732693"/>
          <a:ext cx="2090127" cy="1484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t>Faster support resolution is associated with greater future revenue</a:t>
          </a:r>
        </a:p>
        <a:p>
          <a:br>
            <a:rPr lang="en-CA" sz="1000"/>
          </a:br>
          <a:r>
            <a:rPr lang="en-CA" sz="1000" b="0"/>
            <a:t>Customers averaging 0–72 hours</a:t>
          </a:r>
          <a:r>
            <a:rPr lang="en-CA" sz="1000" b="0" baseline="0"/>
            <a:t> for support </a:t>
          </a:r>
          <a:r>
            <a:rPr lang="en-CA" sz="1000" b="0"/>
            <a:t>resolution time generated $19,073 in average future revenue, compared with $16,084 for 169+ hours—an 18.6% difference</a:t>
          </a:r>
        </a:p>
      </xdr:txBody>
    </xdr:sp>
    <xdr:clientData/>
  </xdr:twoCellAnchor>
  <xdr:twoCellAnchor>
    <xdr:from>
      <xdr:col>20</xdr:col>
      <xdr:colOff>381000</xdr:colOff>
      <xdr:row>11</xdr:row>
      <xdr:rowOff>69849</xdr:rowOff>
    </xdr:from>
    <xdr:to>
      <xdr:col>23</xdr:col>
      <xdr:colOff>558800</xdr:colOff>
      <xdr:row>19</xdr:row>
      <xdr:rowOff>109904</xdr:rowOff>
    </xdr:to>
    <xdr:sp macro="" textlink="">
      <xdr:nvSpPr>
        <xdr:cNvPr id="7" name="TextBox 6">
          <a:extLst>
            <a:ext uri="{FF2B5EF4-FFF2-40B4-BE49-F238E27FC236}">
              <a16:creationId xmlns:a16="http://schemas.microsoft.com/office/drawing/2014/main" id="{59EC54BF-63AF-484A-BA8D-9952694257FC}"/>
            </a:ext>
          </a:extLst>
        </xdr:cNvPr>
        <xdr:cNvSpPr txBox="1"/>
      </xdr:nvSpPr>
      <xdr:spPr>
        <a:xfrm>
          <a:off x="13071231" y="2084753"/>
          <a:ext cx="2090127" cy="150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CA" sz="1000" b="1"/>
            <a:t>Negative support sentiment does not necessarily indicate low </a:t>
          </a:r>
          <a:r>
            <a:rPr lang="en-CA" sz="1000" b="1">
              <a:solidFill>
                <a:schemeClr val="dk1"/>
              </a:solidFill>
              <a:effectLst/>
              <a:latin typeface="+mn-lt"/>
              <a:ea typeface="+mn-ea"/>
              <a:cs typeface="+mn-cs"/>
            </a:rPr>
            <a:t>future revenue</a:t>
          </a:r>
          <a:endParaRPr lang="en-CA" sz="1000">
            <a:effectLst/>
          </a:endParaRPr>
        </a:p>
        <a:p>
          <a:br>
            <a:rPr lang="en-CA" sz="1000"/>
          </a:br>
          <a:r>
            <a:rPr lang="en-CA" sz="1000" b="0"/>
            <a:t>Positive-sentiment customers had the highest returning rate (32.9%), while Negative-sentiment customers generated the highest average future revenue ($18,607)</a:t>
          </a:r>
        </a:p>
      </xdr:txBody>
    </xdr:sp>
    <xdr:clientData/>
  </xdr:twoCellAnchor>
  <xdr:twoCellAnchor>
    <xdr:from>
      <xdr:col>13</xdr:col>
      <xdr:colOff>197827</xdr:colOff>
      <xdr:row>10</xdr:row>
      <xdr:rowOff>113324</xdr:rowOff>
    </xdr:from>
    <xdr:to>
      <xdr:col>16</xdr:col>
      <xdr:colOff>388327</xdr:colOff>
      <xdr:row>17</xdr:row>
      <xdr:rowOff>170474</xdr:rowOff>
    </xdr:to>
    <xdr:sp macro="" textlink="">
      <xdr:nvSpPr>
        <xdr:cNvPr id="8" name="TextBox 7">
          <a:extLst>
            <a:ext uri="{FF2B5EF4-FFF2-40B4-BE49-F238E27FC236}">
              <a16:creationId xmlns:a16="http://schemas.microsoft.com/office/drawing/2014/main" id="{1135BC77-82C3-4589-BEC1-897422ABC090}"/>
            </a:ext>
          </a:extLst>
        </xdr:cNvPr>
        <xdr:cNvSpPr txBox="1"/>
      </xdr:nvSpPr>
      <xdr:spPr>
        <a:xfrm>
          <a:off x="8425962" y="1945055"/>
          <a:ext cx="2102827" cy="1339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t>Prolonged inactivity is associated with weaker retention</a:t>
          </a:r>
        </a:p>
        <a:p>
          <a:br>
            <a:rPr lang="en-CA" sz="1000"/>
          </a:br>
          <a:r>
            <a:rPr lang="en-CA" sz="1000" b="0"/>
            <a:t>Customers last purchasing</a:t>
          </a:r>
          <a:r>
            <a:rPr lang="en-CA" sz="1000" b="0" baseline="0"/>
            <a:t> 0-</a:t>
          </a:r>
          <a:r>
            <a:rPr lang="en-CA" sz="1000" b="0"/>
            <a:t>30 days before</a:t>
          </a:r>
          <a:r>
            <a:rPr lang="en-CA" sz="1000" b="0" baseline="0"/>
            <a:t> </a:t>
          </a:r>
          <a:r>
            <a:rPr lang="en-CA" sz="1000" b="0"/>
            <a:t>the cutoff returned at 32.8%, compared to 29.5% for customers last purchasing</a:t>
          </a:r>
          <a:r>
            <a:rPr lang="en-CA" sz="1000" b="0" baseline="0"/>
            <a:t> </a:t>
          </a:r>
          <a:r>
            <a:rPr lang="en-CA" sz="1000" b="0"/>
            <a:t>366+ days</a:t>
          </a:r>
          <a:r>
            <a:rPr lang="en-CA" sz="1000" b="0" baseline="0"/>
            <a:t> </a:t>
          </a:r>
          <a:r>
            <a:rPr lang="en-CA" sz="1000" b="0">
              <a:solidFill>
                <a:schemeClr val="dk1"/>
              </a:solidFill>
              <a:effectLst/>
              <a:latin typeface="+mn-lt"/>
              <a:ea typeface="+mn-ea"/>
              <a:cs typeface="+mn-cs"/>
            </a:rPr>
            <a:t>before</a:t>
          </a:r>
          <a:r>
            <a:rPr lang="en-CA" sz="1000" b="0" baseline="0">
              <a:solidFill>
                <a:schemeClr val="dk1"/>
              </a:solidFill>
              <a:effectLst/>
              <a:latin typeface="+mn-lt"/>
              <a:ea typeface="+mn-ea"/>
              <a:cs typeface="+mn-cs"/>
            </a:rPr>
            <a:t> </a:t>
          </a:r>
          <a:r>
            <a:rPr lang="en-CA" sz="1000" b="0">
              <a:solidFill>
                <a:schemeClr val="dk1"/>
              </a:solidFill>
              <a:effectLst/>
              <a:latin typeface="+mn-lt"/>
              <a:ea typeface="+mn-ea"/>
              <a:cs typeface="+mn-cs"/>
            </a:rPr>
            <a:t>the cutoff </a:t>
          </a:r>
          <a:endParaRPr lang="en-CA" sz="1000" b="0"/>
        </a:p>
      </xdr:txBody>
    </xdr:sp>
    <xdr:clientData/>
  </xdr:twoCellAnchor>
  <xdr:twoCellAnchor>
    <xdr:from>
      <xdr:col>9</xdr:col>
      <xdr:colOff>388326</xdr:colOff>
      <xdr:row>4</xdr:row>
      <xdr:rowOff>1</xdr:rowOff>
    </xdr:from>
    <xdr:to>
      <xdr:col>12</xdr:col>
      <xdr:colOff>569300</xdr:colOff>
      <xdr:row>11</xdr:row>
      <xdr:rowOff>1</xdr:rowOff>
    </xdr:to>
    <xdr:sp macro="" textlink="">
      <xdr:nvSpPr>
        <xdr:cNvPr id="9" name="TextBox 8">
          <a:extLst>
            <a:ext uri="{FF2B5EF4-FFF2-40B4-BE49-F238E27FC236}">
              <a16:creationId xmlns:a16="http://schemas.microsoft.com/office/drawing/2014/main" id="{85B6F727-10A8-442E-9DA9-4F6865514064}"/>
            </a:ext>
          </a:extLst>
        </xdr:cNvPr>
        <xdr:cNvSpPr txBox="1"/>
      </xdr:nvSpPr>
      <xdr:spPr>
        <a:xfrm>
          <a:off x="6125307" y="732693"/>
          <a:ext cx="2034685" cy="1282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t>Loyal &amp; Active customers are the strongest retention segment</a:t>
          </a:r>
        </a:p>
        <a:p>
          <a:br>
            <a:rPr lang="en-CA" sz="1000"/>
          </a:br>
          <a:r>
            <a:rPr lang="en-CA" sz="1000" b="0"/>
            <a:t>They had the highest returning</a:t>
          </a:r>
          <a:r>
            <a:rPr lang="en-CA" sz="1000" b="0" baseline="0"/>
            <a:t> </a:t>
          </a:r>
          <a:r>
            <a:rPr lang="en-CA" sz="1000" b="0"/>
            <a:t>rate, average historical</a:t>
          </a:r>
          <a:r>
            <a:rPr lang="en-CA" sz="1000" b="0" baseline="0"/>
            <a:t> </a:t>
          </a:r>
          <a:r>
            <a:rPr lang="en-CA" sz="1000" b="0"/>
            <a:t>purchase frequency, and average historical revenue</a:t>
          </a:r>
        </a:p>
      </xdr:txBody>
    </xdr:sp>
    <xdr:clientData/>
  </xdr:twoCellAnchor>
  <xdr:twoCellAnchor>
    <xdr:from>
      <xdr:col>9</xdr:col>
      <xdr:colOff>388326</xdr:colOff>
      <xdr:row>10</xdr:row>
      <xdr:rowOff>114545</xdr:rowOff>
    </xdr:from>
    <xdr:to>
      <xdr:col>13</xdr:col>
      <xdr:colOff>121626</xdr:colOff>
      <xdr:row>17</xdr:row>
      <xdr:rowOff>67896</xdr:rowOff>
    </xdr:to>
    <xdr:sp macro="" textlink="">
      <xdr:nvSpPr>
        <xdr:cNvPr id="10" name="TextBox 9">
          <a:extLst>
            <a:ext uri="{FF2B5EF4-FFF2-40B4-BE49-F238E27FC236}">
              <a16:creationId xmlns:a16="http://schemas.microsoft.com/office/drawing/2014/main" id="{47F415D4-AA18-40B5-957C-C436B3420D73}"/>
            </a:ext>
          </a:extLst>
        </xdr:cNvPr>
        <xdr:cNvSpPr txBox="1"/>
      </xdr:nvSpPr>
      <xdr:spPr>
        <a:xfrm>
          <a:off x="6125307" y="1946276"/>
          <a:ext cx="2224454" cy="1235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t>Low Engagement/Lapsed customers represent a large reactivation opportunity</a:t>
          </a:r>
        </a:p>
        <a:p>
          <a:br>
            <a:rPr lang="en-CA" sz="1000"/>
          </a:br>
          <a:r>
            <a:rPr lang="en-CA" sz="1000" b="0"/>
            <a:t>They account for 48.3% of customers</a:t>
          </a:r>
          <a:r>
            <a:rPr lang="en-CA" sz="1000" b="0" baseline="0"/>
            <a:t> </a:t>
          </a:r>
          <a:r>
            <a:rPr lang="en-CA" sz="1000" b="0"/>
            <a:t>and have the lowest returning rate among</a:t>
          </a:r>
          <a:r>
            <a:rPr lang="en-CA" sz="1000" b="0" baseline="0"/>
            <a:t> the segements (</a:t>
          </a:r>
          <a:r>
            <a:rPr lang="en-CA" sz="1000" b="0"/>
            <a:t>30.4%)</a:t>
          </a:r>
        </a:p>
      </xdr:txBody>
    </xdr:sp>
    <xdr:clientData/>
  </xdr:twoCellAnchor>
  <xdr:twoCellAnchor>
    <xdr:from>
      <xdr:col>0</xdr:col>
      <xdr:colOff>85725</xdr:colOff>
      <xdr:row>20</xdr:row>
      <xdr:rowOff>158751</xdr:rowOff>
    </xdr:from>
    <xdr:to>
      <xdr:col>7</xdr:col>
      <xdr:colOff>217932</xdr:colOff>
      <xdr:row>36</xdr:row>
      <xdr:rowOff>76200</xdr:rowOff>
    </xdr:to>
    <xdr:sp macro="" textlink="">
      <xdr:nvSpPr>
        <xdr:cNvPr id="11" name="TextBox 10">
          <a:extLst>
            <a:ext uri="{FF2B5EF4-FFF2-40B4-BE49-F238E27FC236}">
              <a16:creationId xmlns:a16="http://schemas.microsoft.com/office/drawing/2014/main" id="{0A3266F7-CE3F-447F-825F-94481C30B83C}"/>
            </a:ext>
          </a:extLst>
        </xdr:cNvPr>
        <xdr:cNvSpPr txBox="1"/>
      </xdr:nvSpPr>
      <xdr:spPr>
        <a:xfrm>
          <a:off x="85725" y="3778251"/>
          <a:ext cx="4599432" cy="2813049"/>
        </a:xfrm>
        <a:prstGeom prst="rect">
          <a:avLst/>
        </a:prstGeom>
        <a:solidFill>
          <a:schemeClr val="lt1"/>
        </a:solidFill>
        <a:ln w="9525" cmpd="sng">
          <a:solidFill>
            <a:schemeClr val="lt1">
              <a:shade val="50000"/>
            </a:schemeClr>
          </a:solid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t>Conclusion</a:t>
          </a:r>
        </a:p>
        <a:p>
          <a:endParaRPr lang="en-CA" sz="1000" b="1"/>
        </a:p>
        <a:p>
          <a:r>
            <a:rPr lang="en-CA" sz="1400" b="0"/>
            <a:t>Purchase frequency and recency emerged as the strongest behavioral indicators of future repeat purchasing, with high digital engagement providing an additional retention signal. </a:t>
          </a:r>
          <a:r>
            <a:rPr lang="en-CA" sz="1400"/>
            <a:t>Support resolution time showed one of the strongest relationships with future revenue</a:t>
          </a:r>
        </a:p>
        <a:p>
          <a:endParaRPr lang="en-CA" sz="1400" b="0"/>
        </a:p>
        <a:p>
          <a:r>
            <a:rPr lang="en-CA" sz="1400" b="0"/>
            <a:t>Crucially, the analysis also shows that the likelihood of repeat purchasing and future revenue do not always align. Retention decisions should therefore consider both dimensions rather than relying on any single behavioral or engagement metric.</a:t>
          </a:r>
        </a:p>
        <a:p>
          <a:endParaRPr lang="en-CA" sz="1000"/>
        </a:p>
      </xdr:txBody>
    </xdr:sp>
    <xdr:clientData/>
  </xdr:twoCellAnchor>
  <xdr:twoCellAnchor>
    <xdr:from>
      <xdr:col>10</xdr:col>
      <xdr:colOff>522287</xdr:colOff>
      <xdr:row>22</xdr:row>
      <xdr:rowOff>105768</xdr:rowOff>
    </xdr:from>
    <xdr:to>
      <xdr:col>22</xdr:col>
      <xdr:colOff>525462</xdr:colOff>
      <xdr:row>34</xdr:row>
      <xdr:rowOff>129182</xdr:rowOff>
    </xdr:to>
    <xdr:sp macro="" textlink="">
      <xdr:nvSpPr>
        <xdr:cNvPr id="13" name="TextBox 12">
          <a:extLst>
            <a:ext uri="{FF2B5EF4-FFF2-40B4-BE49-F238E27FC236}">
              <a16:creationId xmlns:a16="http://schemas.microsoft.com/office/drawing/2014/main" id="{6E508FFB-7F06-42AA-9B66-846BA174FBEC}"/>
            </a:ext>
          </a:extLst>
        </xdr:cNvPr>
        <xdr:cNvSpPr txBox="1"/>
      </xdr:nvSpPr>
      <xdr:spPr>
        <a:xfrm>
          <a:off x="6846887" y="4087218"/>
          <a:ext cx="7661275" cy="2195114"/>
        </a:xfrm>
        <a:prstGeom prst="rect">
          <a:avLst/>
        </a:prstGeom>
        <a:solidFill>
          <a:schemeClr val="lt1"/>
        </a:solidFill>
        <a:ln w="9525" cmpd="sng">
          <a:solidFill>
            <a:schemeClr val="lt1">
              <a:shade val="50000"/>
            </a:schemeClr>
          </a:solid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sz="1200" b="1"/>
            <a:t>Recommendations</a:t>
          </a:r>
        </a:p>
        <a:p>
          <a:pPr lvl="0"/>
          <a:endParaRPr lang="en-CA" sz="1000" b="1"/>
        </a:p>
        <a:p>
          <a:pPr lvl="0"/>
          <a:r>
            <a:rPr lang="en-CA" sz="1000" b="0"/>
            <a:t>Protect 'Loyal &amp; Active' customers through loyalty initiatives, while monitoring declining recency for early signs of disengagement</a:t>
          </a:r>
        </a:p>
        <a:p>
          <a:pPr lvl="0"/>
          <a:endParaRPr lang="en-CA" sz="1000" b="0"/>
        </a:p>
        <a:p>
          <a:pPr lvl="0"/>
          <a:r>
            <a:rPr lang="en-CA" sz="1000" b="0"/>
            <a:t>Intervene earlier with historically valuable customers as purchase recency increases, before they become fully lapsed</a:t>
          </a:r>
        </a:p>
        <a:p>
          <a:pPr lvl="0"/>
          <a:endParaRPr lang="en-CA" sz="1000" b="0"/>
        </a:p>
        <a:p>
          <a:pPr lvl="0"/>
          <a:r>
            <a:rPr lang="en-CA" sz="1000" b="0"/>
            <a:t>Develop targeted re-engagement strategies for 'Low Engagement/Lapsed' customers, a large segment representing 48.3% of the customer base with the lowest returning rate</a:t>
          </a:r>
        </a:p>
        <a:p>
          <a:pPr lvl="0"/>
          <a:endParaRPr lang="en-CA" sz="1000" b="0"/>
        </a:p>
        <a:p>
          <a:pPr lvl="0"/>
          <a:r>
            <a:rPr lang="en-CA" sz="1000"/>
            <a:t>Reduce lengthy support resolution times, particularly those exceeding 120 hours, given their association with lower future revenue</a:t>
          </a:r>
          <a:endParaRPr lang="en-CA" sz="1000" b="0"/>
        </a:p>
        <a:p>
          <a:pPr lvl="0"/>
          <a:endParaRPr lang="en-CA" sz="1000" b="0"/>
        </a:p>
        <a:p>
          <a:pPr lvl="0"/>
          <a:r>
            <a:rPr lang="en-CA" sz="1000" b="0"/>
            <a:t>Evaluate retention likelihood and expected future revenue separately when prioritizing customers, particularly when using digital engagement or support sentiment signals</a:t>
          </a:r>
          <a:endParaRPr lang="en-CA" sz="1000"/>
        </a:p>
      </xdr:txBody>
    </xdr:sp>
    <xdr:clientData/>
  </xdr:twoCellAnchor>
  <xdr:twoCellAnchor editAs="absolute">
    <xdr:from>
      <xdr:col>0</xdr:col>
      <xdr:colOff>85725</xdr:colOff>
      <xdr:row>0</xdr:row>
      <xdr:rowOff>120650</xdr:rowOff>
    </xdr:from>
    <xdr:to>
      <xdr:col>8</xdr:col>
      <xdr:colOff>85725</xdr:colOff>
      <xdr:row>3</xdr:row>
      <xdr:rowOff>103187</xdr:rowOff>
    </xdr:to>
    <xdr:sp macro="" textlink="">
      <xdr:nvSpPr>
        <xdr:cNvPr id="14" name="TextBox 13">
          <a:extLst>
            <a:ext uri="{FF2B5EF4-FFF2-40B4-BE49-F238E27FC236}">
              <a16:creationId xmlns:a16="http://schemas.microsoft.com/office/drawing/2014/main" id="{C08B8323-9867-4F8B-B2CD-B46DBFCFCF50}"/>
            </a:ext>
          </a:extLst>
        </xdr:cNvPr>
        <xdr:cNvSpPr txBox="1"/>
      </xdr:nvSpPr>
      <xdr:spPr>
        <a:xfrm>
          <a:off x="82550" y="123825"/>
          <a:ext cx="5105400" cy="525462"/>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2800" b="1"/>
            <a:t>Insights and Recommendations </a:t>
          </a:r>
        </a:p>
      </xdr:txBody>
    </xdr:sp>
    <xdr:clientData/>
  </xdr:twoCellAnchor>
  <xdr:twoCellAnchor editAs="absolute">
    <xdr:from>
      <xdr:col>17</xdr:col>
      <xdr:colOff>228599</xdr:colOff>
      <xdr:row>1</xdr:row>
      <xdr:rowOff>101600</xdr:rowOff>
    </xdr:from>
    <xdr:to>
      <xdr:col>19</xdr:col>
      <xdr:colOff>514350</xdr:colOff>
      <xdr:row>3</xdr:row>
      <xdr:rowOff>57150</xdr:rowOff>
    </xdr:to>
    <xdr:sp macro="" textlink="">
      <xdr:nvSpPr>
        <xdr:cNvPr id="26" name="TextBox 25">
          <a:extLst>
            <a:ext uri="{FF2B5EF4-FFF2-40B4-BE49-F238E27FC236}">
              <a16:creationId xmlns:a16="http://schemas.microsoft.com/office/drawing/2014/main" id="{C6FC1D99-483C-48E5-AAB8-DF3BEF94E510}"/>
            </a:ext>
          </a:extLst>
        </xdr:cNvPr>
        <xdr:cNvSpPr txBox="1"/>
      </xdr:nvSpPr>
      <xdr:spPr>
        <a:xfrm>
          <a:off x="10534649" y="295275"/>
          <a:ext cx="1504951" cy="333375"/>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t>Digital Engagement</a:t>
          </a:r>
        </a:p>
      </xdr:txBody>
    </xdr:sp>
    <xdr:clientData/>
  </xdr:twoCellAnchor>
  <xdr:twoCellAnchor editAs="absolute">
    <xdr:from>
      <xdr:col>13</xdr:col>
      <xdr:colOff>450849</xdr:colOff>
      <xdr:row>1</xdr:row>
      <xdr:rowOff>101600</xdr:rowOff>
    </xdr:from>
    <xdr:to>
      <xdr:col>16</xdr:col>
      <xdr:colOff>120650</xdr:colOff>
      <xdr:row>3</xdr:row>
      <xdr:rowOff>57150</xdr:rowOff>
    </xdr:to>
    <xdr:sp macro="" textlink="">
      <xdr:nvSpPr>
        <xdr:cNvPr id="27" name="TextBox 26">
          <a:extLst>
            <a:ext uri="{FF2B5EF4-FFF2-40B4-BE49-F238E27FC236}">
              <a16:creationId xmlns:a16="http://schemas.microsoft.com/office/drawing/2014/main" id="{6198D2E9-71BA-4EBE-8860-5697191E5B68}"/>
            </a:ext>
          </a:extLst>
        </xdr:cNvPr>
        <xdr:cNvSpPr txBox="1"/>
      </xdr:nvSpPr>
      <xdr:spPr>
        <a:xfrm>
          <a:off x="8315324" y="295275"/>
          <a:ext cx="1504951" cy="333375"/>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t>Purchasing Behavior</a:t>
          </a:r>
        </a:p>
      </xdr:txBody>
    </xdr:sp>
    <xdr:clientData/>
  </xdr:twoCellAnchor>
  <xdr:twoCellAnchor editAs="absolute">
    <xdr:from>
      <xdr:col>10</xdr:col>
      <xdr:colOff>69849</xdr:colOff>
      <xdr:row>1</xdr:row>
      <xdr:rowOff>101600</xdr:rowOff>
    </xdr:from>
    <xdr:to>
      <xdr:col>12</xdr:col>
      <xdr:colOff>349250</xdr:colOff>
      <xdr:row>3</xdr:row>
      <xdr:rowOff>57150</xdr:rowOff>
    </xdr:to>
    <xdr:sp macro="" textlink="">
      <xdr:nvSpPr>
        <xdr:cNvPr id="28" name="TextBox 27">
          <a:extLst>
            <a:ext uri="{FF2B5EF4-FFF2-40B4-BE49-F238E27FC236}">
              <a16:creationId xmlns:a16="http://schemas.microsoft.com/office/drawing/2014/main" id="{B0FCA155-C8C2-4D27-92B1-7CE6A403E6F3}"/>
            </a:ext>
          </a:extLst>
        </xdr:cNvPr>
        <xdr:cNvSpPr txBox="1"/>
      </xdr:nvSpPr>
      <xdr:spPr>
        <a:xfrm>
          <a:off x="6105524" y="295275"/>
          <a:ext cx="1504951" cy="333375"/>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t>Home Dashboard</a:t>
          </a:r>
        </a:p>
      </xdr:txBody>
    </xdr:sp>
    <xdr:clientData/>
  </xdr:twoCellAnchor>
  <xdr:twoCellAnchor editAs="absolute">
    <xdr:from>
      <xdr:col>21</xdr:col>
      <xdr:colOff>19049</xdr:colOff>
      <xdr:row>1</xdr:row>
      <xdr:rowOff>101600</xdr:rowOff>
    </xdr:from>
    <xdr:to>
      <xdr:col>23</xdr:col>
      <xdr:colOff>304800</xdr:colOff>
      <xdr:row>3</xdr:row>
      <xdr:rowOff>57150</xdr:rowOff>
    </xdr:to>
    <xdr:sp macro="" textlink="">
      <xdr:nvSpPr>
        <xdr:cNvPr id="29" name="TextBox 28">
          <a:extLst>
            <a:ext uri="{FF2B5EF4-FFF2-40B4-BE49-F238E27FC236}">
              <a16:creationId xmlns:a16="http://schemas.microsoft.com/office/drawing/2014/main" id="{8F9FDF28-BC81-4D75-BE54-D006681027D3}"/>
            </a:ext>
          </a:extLst>
        </xdr:cNvPr>
        <xdr:cNvSpPr txBox="1"/>
      </xdr:nvSpPr>
      <xdr:spPr>
        <a:xfrm>
          <a:off x="12763499" y="295275"/>
          <a:ext cx="1504951" cy="333375"/>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t>Support Experience</a:t>
          </a:r>
        </a:p>
      </xdr:txBody>
    </xdr:sp>
    <xdr:clientData/>
  </xdr:twoCellAnchor>
  <xdr:twoCellAnchor>
    <xdr:from>
      <xdr:col>20</xdr:col>
      <xdr:colOff>336096</xdr:colOff>
      <xdr:row>11</xdr:row>
      <xdr:rowOff>76200</xdr:rowOff>
    </xdr:from>
    <xdr:to>
      <xdr:col>23</xdr:col>
      <xdr:colOff>600075</xdr:colOff>
      <xdr:row>11</xdr:row>
      <xdr:rowOff>76200</xdr:rowOff>
    </xdr:to>
    <xdr:cxnSp macro="">
      <xdr:nvCxnSpPr>
        <xdr:cNvPr id="33" name="Straight Connector 32">
          <a:extLst>
            <a:ext uri="{FF2B5EF4-FFF2-40B4-BE49-F238E27FC236}">
              <a16:creationId xmlns:a16="http://schemas.microsoft.com/office/drawing/2014/main" id="{254DAF45-3EFA-474B-07FA-833713CA424A}"/>
            </a:ext>
          </a:extLst>
        </xdr:cNvPr>
        <xdr:cNvCxnSpPr/>
      </xdr:nvCxnSpPr>
      <xdr:spPr>
        <a:xfrm>
          <a:off x="13042446" y="2066925"/>
          <a:ext cx="2178504" cy="0"/>
        </a:xfrm>
        <a:prstGeom prst="line">
          <a:avLst/>
        </a:prstGeom>
        <a:ln>
          <a:solidFill>
            <a:schemeClr val="accent2">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354867</xdr:colOff>
      <xdr:row>10</xdr:row>
      <xdr:rowOff>83039</xdr:rowOff>
    </xdr:from>
    <xdr:to>
      <xdr:col>13</xdr:col>
      <xdr:colOff>65942</xdr:colOff>
      <xdr:row>10</xdr:row>
      <xdr:rowOff>83039</xdr:rowOff>
    </xdr:to>
    <xdr:cxnSp macro="">
      <xdr:nvCxnSpPr>
        <xdr:cNvPr id="34" name="Straight Connector 33">
          <a:extLst>
            <a:ext uri="{FF2B5EF4-FFF2-40B4-BE49-F238E27FC236}">
              <a16:creationId xmlns:a16="http://schemas.microsoft.com/office/drawing/2014/main" id="{54001C06-9E5D-4D6B-8491-CE1F3477C16C}"/>
            </a:ext>
          </a:extLst>
        </xdr:cNvPr>
        <xdr:cNvCxnSpPr/>
      </xdr:nvCxnSpPr>
      <xdr:spPr>
        <a:xfrm>
          <a:off x="6091848" y="1914770"/>
          <a:ext cx="2202229" cy="0"/>
        </a:xfrm>
        <a:prstGeom prst="line">
          <a:avLst/>
        </a:prstGeom>
        <a:ln>
          <a:solidFill>
            <a:schemeClr val="tx2">
              <a:lumMod val="75000"/>
              <a:lumOff val="2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560021</xdr:colOff>
      <xdr:row>11</xdr:row>
      <xdr:rowOff>65699</xdr:rowOff>
    </xdr:from>
    <xdr:to>
      <xdr:col>20</xdr:col>
      <xdr:colOff>212481</xdr:colOff>
      <xdr:row>11</xdr:row>
      <xdr:rowOff>65699</xdr:rowOff>
    </xdr:to>
    <xdr:cxnSp macro="">
      <xdr:nvCxnSpPr>
        <xdr:cNvPr id="35" name="Straight Connector 34">
          <a:extLst>
            <a:ext uri="{FF2B5EF4-FFF2-40B4-BE49-F238E27FC236}">
              <a16:creationId xmlns:a16="http://schemas.microsoft.com/office/drawing/2014/main" id="{AC208761-8A36-4667-BF35-9D67C43637A6}"/>
            </a:ext>
          </a:extLst>
        </xdr:cNvPr>
        <xdr:cNvCxnSpPr/>
      </xdr:nvCxnSpPr>
      <xdr:spPr>
        <a:xfrm>
          <a:off x="10700483" y="2080603"/>
          <a:ext cx="2202229" cy="0"/>
        </a:xfrm>
        <a:prstGeom prst="line">
          <a:avLst/>
        </a:prstGeom>
        <a:ln>
          <a:solidFill>
            <a:srgbClr val="014D4E"/>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179998</xdr:colOff>
      <xdr:row>10</xdr:row>
      <xdr:rowOff>84993</xdr:rowOff>
    </xdr:from>
    <xdr:to>
      <xdr:col>16</xdr:col>
      <xdr:colOff>432288</xdr:colOff>
      <xdr:row>10</xdr:row>
      <xdr:rowOff>84993</xdr:rowOff>
    </xdr:to>
    <xdr:cxnSp macro="">
      <xdr:nvCxnSpPr>
        <xdr:cNvPr id="36" name="Straight Connector 35">
          <a:extLst>
            <a:ext uri="{FF2B5EF4-FFF2-40B4-BE49-F238E27FC236}">
              <a16:creationId xmlns:a16="http://schemas.microsoft.com/office/drawing/2014/main" id="{F2B448E6-6734-43FB-8B38-AC1CA4E6187C}"/>
            </a:ext>
          </a:extLst>
        </xdr:cNvPr>
        <xdr:cNvCxnSpPr/>
      </xdr:nvCxnSpPr>
      <xdr:spPr>
        <a:xfrm>
          <a:off x="8408133" y="1916724"/>
          <a:ext cx="2164617" cy="0"/>
        </a:xfrm>
        <a:prstGeom prst="line">
          <a:avLst/>
        </a:prstGeom>
        <a:ln>
          <a:solidFill>
            <a:schemeClr val="accent6">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407987</xdr:colOff>
      <xdr:row>20</xdr:row>
      <xdr:rowOff>97218</xdr:rowOff>
    </xdr:from>
    <xdr:to>
      <xdr:col>17</xdr:col>
      <xdr:colOff>1587</xdr:colOff>
      <xdr:row>22</xdr:row>
      <xdr:rowOff>55308</xdr:rowOff>
    </xdr:to>
    <xdr:sp macro="" textlink="">
      <xdr:nvSpPr>
        <xdr:cNvPr id="49" name="Arrow: Down 48">
          <a:extLst>
            <a:ext uri="{FF2B5EF4-FFF2-40B4-BE49-F238E27FC236}">
              <a16:creationId xmlns:a16="http://schemas.microsoft.com/office/drawing/2014/main" id="{46AC41B0-0278-499C-8008-A6CC0729D252}"/>
            </a:ext>
          </a:extLst>
        </xdr:cNvPr>
        <xdr:cNvSpPr/>
      </xdr:nvSpPr>
      <xdr:spPr>
        <a:xfrm>
          <a:off x="10561637" y="3716718"/>
          <a:ext cx="231775" cy="320040"/>
        </a:xfrm>
        <a:prstGeom prst="downArrow">
          <a:avLst/>
        </a:prstGeom>
        <a:solidFill>
          <a:schemeClr val="tx1">
            <a:lumMod val="50000"/>
            <a:lumOff val="50000"/>
          </a:schemeClr>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8</xdr:col>
      <xdr:colOff>512761</xdr:colOff>
      <xdr:row>28</xdr:row>
      <xdr:rowOff>4763</xdr:rowOff>
    </xdr:from>
    <xdr:to>
      <xdr:col>9</xdr:col>
      <xdr:colOff>197801</xdr:colOff>
      <xdr:row>29</xdr:row>
      <xdr:rowOff>49213</xdr:rowOff>
    </xdr:to>
    <xdr:sp macro="" textlink="">
      <xdr:nvSpPr>
        <xdr:cNvPr id="15" name="Arrow: Left 14">
          <a:extLst>
            <a:ext uri="{FF2B5EF4-FFF2-40B4-BE49-F238E27FC236}">
              <a16:creationId xmlns:a16="http://schemas.microsoft.com/office/drawing/2014/main" id="{FAC856AF-DB95-4E05-98E4-F51FADA7364B}"/>
            </a:ext>
          </a:extLst>
        </xdr:cNvPr>
        <xdr:cNvSpPr/>
      </xdr:nvSpPr>
      <xdr:spPr>
        <a:xfrm>
          <a:off x="5618161" y="5072063"/>
          <a:ext cx="323215" cy="225425"/>
        </a:xfrm>
        <a:prstGeom prst="leftArrow">
          <a:avLst/>
        </a:prstGeom>
        <a:solidFill>
          <a:schemeClr val="tx1">
            <a:lumMod val="50000"/>
            <a:lumOff val="50000"/>
          </a:schemeClr>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8</xdr:col>
      <xdr:colOff>93661</xdr:colOff>
      <xdr:row>9</xdr:row>
      <xdr:rowOff>146050</xdr:rowOff>
    </xdr:from>
    <xdr:to>
      <xdr:col>8</xdr:col>
      <xdr:colOff>416495</xdr:colOff>
      <xdr:row>11</xdr:row>
      <xdr:rowOff>12700</xdr:rowOff>
    </xdr:to>
    <xdr:sp macro="" textlink="">
      <xdr:nvSpPr>
        <xdr:cNvPr id="19" name="Arrow: Right 18">
          <a:extLst>
            <a:ext uri="{FF2B5EF4-FFF2-40B4-BE49-F238E27FC236}">
              <a16:creationId xmlns:a16="http://schemas.microsoft.com/office/drawing/2014/main" id="{9F182198-28CC-472E-856D-92DDC1A98E50}"/>
            </a:ext>
          </a:extLst>
        </xdr:cNvPr>
        <xdr:cNvSpPr/>
      </xdr:nvSpPr>
      <xdr:spPr>
        <a:xfrm>
          <a:off x="5199061" y="1774825"/>
          <a:ext cx="322834" cy="228600"/>
        </a:xfrm>
        <a:prstGeom prst="rightArrow">
          <a:avLst/>
        </a:prstGeom>
        <a:solidFill>
          <a:schemeClr val="tx1">
            <a:lumMod val="50000"/>
            <a:lumOff val="50000"/>
          </a:schemeClr>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ques le Roux" refreshedDate="46252.180329745373" createdVersion="8" refreshedVersion="8" minRefreshableVersion="3" recordCount="4" xr:uid="{6284F221-41EE-4133-AD1E-B5A9861016CD}">
  <cacheSource type="worksheet">
    <worksheetSource name="Customer_Retention_Segments"/>
  </cacheSource>
  <cacheFields count="9">
    <cacheField name="customer_segment" numFmtId="0">
      <sharedItems count="4">
        <s v="Loyal &amp; Active"/>
        <s v="Loyal but Cooling"/>
        <s v="Developing"/>
        <s v="Low Engagement / Lapsed"/>
      </sharedItems>
    </cacheField>
    <cacheField name="historical_customers" numFmtId="0">
      <sharedItems containsSemiMixedTypes="0" containsString="0" containsNumber="1" containsInteger="1" minValue="4843" maxValue="23101"/>
    </cacheField>
    <cacheField name="customer_share_pct" numFmtId="0">
      <sharedItems containsSemiMixedTypes="0" containsString="0" containsNumber="1" minValue="10.119999999999999" maxValue="48.29"/>
    </cacheField>
    <cacheField name="avg_historical_orders" numFmtId="0">
      <sharedItems containsSemiMixedTypes="0" containsString="0" containsNumber="1" minValue="3.83" maxValue="8.58"/>
    </cacheField>
    <cacheField name="avg_historical_revenue_per_customer" numFmtId="0">
      <sharedItems containsSemiMixedTypes="0" containsString="0" containsNumber="1" minValue="166517.37" maxValue="370116.32"/>
    </cacheField>
    <cacheField name="avg_days_since_last_order" numFmtId="0">
      <sharedItems containsSemiMixedTypes="0" containsString="0" containsNumber="1" minValue="39.200000000000003" maxValue="268.7"/>
    </cacheField>
    <cacheField name="future_repeat_customers" numFmtId="0">
      <sharedItems containsSemiMixedTypes="0" containsString="0" containsNumber="1" containsInteger="1" minValue="1556" maxValue="7023"/>
    </cacheField>
    <cacheField name="future_repeat_purchase_rate" numFmtId="0">
      <sharedItems containsSemiMixedTypes="0" containsString="0" containsNumber="1" minValue="30.4" maxValue="35.229999999999997"/>
    </cacheField>
    <cacheField name="avg_future_revenue_per_customer" numFmtId="0">
      <sharedItems containsSemiMixedTypes="0" containsString="0" containsNumber="1" minValue="15540.72" maxValue="18966.3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7099"/>
    <n v="14.84"/>
    <n v="8.58"/>
    <n v="370116.32"/>
    <n v="39.200000000000003"/>
    <n v="2501"/>
    <n v="35.229999999999997"/>
    <n v="18966.32"/>
  </r>
  <r>
    <x v="1"/>
    <n v="4843"/>
    <n v="10.119999999999999"/>
    <n v="8.09"/>
    <n v="341691"/>
    <n v="174.6"/>
    <n v="1556"/>
    <n v="32.130000000000003"/>
    <n v="17350.63"/>
  </r>
  <r>
    <x v="2"/>
    <n v="12792"/>
    <n v="26.74"/>
    <n v="4.49"/>
    <n v="199172.4"/>
    <n v="42.7"/>
    <n v="3971"/>
    <n v="31.04"/>
    <n v="16316.68"/>
  </r>
  <r>
    <x v="3"/>
    <n v="23101"/>
    <n v="48.29"/>
    <n v="3.83"/>
    <n v="166517.37"/>
    <n v="268.7"/>
    <n v="7023"/>
    <n v="30.4"/>
    <n v="15540.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AE5767-2CB6-49FE-BE70-259C7B0BAD6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Customer Segment">
  <location ref="B15:G19" firstHeaderRow="0" firstDataRow="1" firstDataCol="1"/>
  <pivotFields count="9">
    <pivotField name="Customer Segment" axis="axisRow" compact="0" outline="0" showAll="0">
      <items count="5">
        <item x="0"/>
        <item x="1"/>
        <item x="2"/>
        <item x="3"/>
        <item t="default"/>
      </items>
    </pivotField>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s>
  <rowFields count="1">
    <field x="0"/>
  </rowFields>
  <rowItems count="4">
    <i>
      <x/>
    </i>
    <i>
      <x v="1"/>
    </i>
    <i>
      <x v="2"/>
    </i>
    <i>
      <x v="3"/>
    </i>
  </rowItems>
  <colFields count="1">
    <field x="-2"/>
  </colFields>
  <colItems count="5">
    <i>
      <x/>
    </i>
    <i i="1">
      <x v="1"/>
    </i>
    <i i="2">
      <x v="2"/>
    </i>
    <i i="3">
      <x v="3"/>
    </i>
    <i i="4">
      <x v="4"/>
    </i>
  </colItems>
  <dataFields count="5">
    <dataField name="Customers" fld="1" baseField="0" baseItem="0" numFmtId="3"/>
    <dataField name="Historical Customer Share " fld="2" baseField="0" baseItem="0" numFmtId="166"/>
    <dataField name="Avg Historical Orders" fld="3" subtotal="average" baseField="0" baseItem="0" numFmtId="165"/>
    <dataField name="Avg Historical Revenue" fld="4" subtotal="average" baseField="0" baseItem="0" numFmtId="167"/>
    <dataField name="Avg Days Between Last Historical Order and Cutoff Date" fld="5" subtotal="average" baseField="0" baseItem="0" numFmtId="165"/>
  </dataFields>
  <formats count="78">
    <format dxfId="91">
      <pivotArea dataOnly="0" outline="0" fieldPosition="0">
        <references count="1">
          <reference field="4294967294" count="1">
            <x v="0"/>
          </reference>
        </references>
      </pivotArea>
    </format>
    <format dxfId="90">
      <pivotArea dataOnly="0" outline="0" fieldPosition="0">
        <references count="1">
          <reference field="4294967294" count="1">
            <x v="1"/>
          </reference>
        </references>
      </pivotArea>
    </format>
    <format dxfId="89">
      <pivotArea dataOnly="0" outline="0" fieldPosition="0">
        <references count="1">
          <reference field="4294967294" count="1">
            <x v="2"/>
          </reference>
        </references>
      </pivotArea>
    </format>
    <format dxfId="88">
      <pivotArea dataOnly="0" outline="0" fieldPosition="0">
        <references count="1">
          <reference field="4294967294" count="1">
            <x v="3"/>
          </reference>
        </references>
      </pivotArea>
    </format>
    <format dxfId="87">
      <pivotArea outline="0" fieldPosition="0">
        <references count="1">
          <reference field="4294967294" count="1">
            <x v="0"/>
          </reference>
        </references>
      </pivotArea>
    </format>
    <format dxfId="86">
      <pivotArea outline="0" fieldPosition="0">
        <references count="1">
          <reference field="4294967294" count="1">
            <x v="1"/>
          </reference>
        </references>
      </pivotArea>
    </format>
    <format dxfId="85">
      <pivotArea outline="0" fieldPosition="0">
        <references count="1">
          <reference field="4294967294" count="1">
            <x v="2"/>
          </reference>
        </references>
      </pivotArea>
    </format>
    <format dxfId="84">
      <pivotArea outline="0" fieldPosition="0">
        <references count="1">
          <reference field="4294967294" count="1">
            <x v="3"/>
          </reference>
        </references>
      </pivotArea>
    </format>
    <format dxfId="83">
      <pivotArea outline="0" fieldPosition="0">
        <references count="1">
          <reference field="4294967294" count="1">
            <x v="4"/>
          </reference>
        </references>
      </pivotArea>
    </format>
    <format dxfId="82">
      <pivotArea type="all" dataOnly="0" outline="0" fieldPosition="0"/>
    </format>
    <format dxfId="81">
      <pivotArea outline="0" collapsedLevelsAreSubtotals="1" fieldPosition="0"/>
    </format>
    <format dxfId="80">
      <pivotArea field="0" type="button" dataOnly="0" labelOnly="1" outline="0" axis="axisRow" fieldPosition="0"/>
    </format>
    <format dxfId="79">
      <pivotArea dataOnly="0" labelOnly="1" outline="0" fieldPosition="0">
        <references count="1">
          <reference field="0" count="0"/>
        </references>
      </pivotArea>
    </format>
    <format dxfId="78">
      <pivotArea dataOnly="0" labelOnly="1" outline="0" fieldPosition="0">
        <references count="1">
          <reference field="4294967294" count="5">
            <x v="0"/>
            <x v="1"/>
            <x v="2"/>
            <x v="3"/>
            <x v="4"/>
          </reference>
        </references>
      </pivotArea>
    </format>
    <format dxfId="77">
      <pivotArea type="all" dataOnly="0" outline="0" fieldPosition="0"/>
    </format>
    <format dxfId="76">
      <pivotArea dataOnly="0" labelOnly="1" outline="0" fieldPosition="0">
        <references count="1">
          <reference field="4294967294" count="5">
            <x v="0"/>
            <x v="1"/>
            <x v="2"/>
            <x v="3"/>
            <x v="4"/>
          </reference>
        </references>
      </pivotArea>
    </format>
    <format dxfId="75">
      <pivotArea dataOnly="0" labelOnly="1" outline="0" fieldPosition="0">
        <references count="1">
          <reference field="4294967294" count="1">
            <x v="4"/>
          </reference>
        </references>
      </pivotArea>
    </format>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outline="0" fieldPosition="0">
        <references count="1">
          <reference field="0" count="0"/>
        </references>
      </pivotArea>
    </format>
    <format dxfId="70">
      <pivotArea dataOnly="0" labelOnly="1" outline="0" fieldPosition="0">
        <references count="1">
          <reference field="4294967294" count="5">
            <x v="0"/>
            <x v="1"/>
            <x v="2"/>
            <x v="3"/>
            <x v="4"/>
          </reference>
        </references>
      </pivotArea>
    </format>
    <format dxfId="69">
      <pivotArea field="0" type="button" dataOnly="0" labelOnly="1" outline="0" axis="axisRow" fieldPosition="0"/>
    </format>
    <format dxfId="68">
      <pivotArea dataOnly="0" labelOnly="1" outline="0" fieldPosition="0">
        <references count="1">
          <reference field="4294967294" count="5">
            <x v="0"/>
            <x v="1"/>
            <x v="2"/>
            <x v="3"/>
            <x v="4"/>
          </reference>
        </references>
      </pivotArea>
    </format>
    <format dxfId="67">
      <pivotArea field="0" type="button" dataOnly="0" labelOnly="1" outline="0" axis="axisRow" fieldPosition="0"/>
    </format>
    <format dxfId="66">
      <pivotArea dataOnly="0" labelOnly="1" outline="0" fieldPosition="0">
        <references count="1">
          <reference field="4294967294" count="5">
            <x v="0"/>
            <x v="1"/>
            <x v="2"/>
            <x v="3"/>
            <x v="4"/>
          </reference>
        </references>
      </pivotArea>
    </format>
    <format dxfId="65">
      <pivotArea dataOnly="0" labelOnly="1" outline="0" fieldPosition="0">
        <references count="1">
          <reference field="0" count="1">
            <x v="3"/>
          </reference>
        </references>
      </pivotArea>
    </format>
    <format dxfId="64">
      <pivotArea field="0" type="button" dataOnly="0" labelOnly="1" outline="0" axis="axisRow" fieldPosition="0"/>
    </format>
    <format dxfId="63">
      <pivotArea dataOnly="0" labelOnly="1" outline="0" fieldPosition="0">
        <references count="1">
          <reference field="4294967294" count="5">
            <x v="0"/>
            <x v="1"/>
            <x v="2"/>
            <x v="3"/>
            <x v="4"/>
          </reference>
        </references>
      </pivotArea>
    </format>
    <format dxfId="62">
      <pivotArea field="0" type="button" dataOnly="0" labelOnly="1" outline="0" axis="axisRow" fieldPosition="0"/>
    </format>
    <format dxfId="61">
      <pivotArea dataOnly="0" labelOnly="1" outline="0" fieldPosition="0">
        <references count="1">
          <reference field="4294967294" count="5">
            <x v="0"/>
            <x v="1"/>
            <x v="2"/>
            <x v="3"/>
            <x v="4"/>
          </reference>
        </references>
      </pivotArea>
    </format>
    <format dxfId="60">
      <pivotArea type="all" dataOnly="0" outline="0" fieldPosition="0"/>
    </format>
    <format dxfId="59">
      <pivotArea field="0" type="button" dataOnly="0" labelOnly="1" outline="0" axis="axisRow" fieldPosition="0"/>
    </format>
    <format dxfId="58">
      <pivotArea dataOnly="0" labelOnly="1" outline="0" fieldPosition="0">
        <references count="1">
          <reference field="4294967294" count="5">
            <x v="0"/>
            <x v="1"/>
            <x v="2"/>
            <x v="3"/>
            <x v="4"/>
          </reference>
        </references>
      </pivotArea>
    </format>
    <format dxfId="57">
      <pivotArea field="0" type="button" dataOnly="0" labelOnly="1" outline="0" axis="axisRow" fieldPosition="0"/>
    </format>
    <format dxfId="56">
      <pivotArea dataOnly="0" labelOnly="1" outline="0" fieldPosition="0">
        <references count="1">
          <reference field="4294967294" count="5">
            <x v="0"/>
            <x v="1"/>
            <x v="2"/>
            <x v="3"/>
            <x v="4"/>
          </reference>
        </references>
      </pivotArea>
    </format>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outline="0" fieldPosition="0">
        <references count="1">
          <reference field="0" count="0"/>
        </references>
      </pivotArea>
    </format>
    <format dxfId="51">
      <pivotArea dataOnly="0" labelOnly="1" outline="0" fieldPosition="0">
        <references count="1">
          <reference field="4294967294" count="5">
            <x v="0"/>
            <x v="1"/>
            <x v="2"/>
            <x v="3"/>
            <x v="4"/>
          </reference>
        </references>
      </pivotArea>
    </format>
    <format dxfId="50">
      <pivotArea outline="0" fieldPosition="0">
        <references count="1">
          <reference field="4294967294" count="1" selected="0">
            <x v="0"/>
          </reference>
        </references>
      </pivotArea>
    </format>
    <format dxfId="49">
      <pivotArea outline="0" fieldPosition="0">
        <references count="1">
          <reference field="4294967294" count="1" selected="0">
            <x v="1"/>
          </reference>
        </references>
      </pivotArea>
    </format>
    <format dxfId="48">
      <pivotArea outline="0" fieldPosition="0">
        <references count="1">
          <reference field="4294967294" count="1" selected="0">
            <x v="2"/>
          </reference>
        </references>
      </pivotArea>
    </format>
    <format dxfId="47">
      <pivotArea outline="0" fieldPosition="0">
        <references count="1">
          <reference field="4294967294" count="1" selected="0">
            <x v="3"/>
          </reference>
        </references>
      </pivotArea>
    </format>
    <format dxfId="46">
      <pivotArea outline="0" fieldPosition="0">
        <references count="1">
          <reference field="4294967294" count="1" selected="0">
            <x v="4"/>
          </reference>
        </references>
      </pivotArea>
    </format>
    <format dxfId="45">
      <pivotArea type="all" dataOnly="0" outline="0" fieldPosition="0"/>
    </format>
    <format dxfId="44">
      <pivotArea outline="0" collapsedLevelsAreSubtotals="1" fieldPosition="0"/>
    </format>
    <format dxfId="43">
      <pivotArea dataOnly="0" labelOnly="1" outline="0" fieldPosition="0">
        <references count="1">
          <reference field="0" count="0"/>
        </references>
      </pivotArea>
    </format>
    <format dxfId="42">
      <pivotArea field="0" type="button" dataOnly="0" labelOnly="1" outline="0" axis="axisRow" fieldPosition="0"/>
    </format>
    <format dxfId="41">
      <pivotArea dataOnly="0" labelOnly="1" outline="0" fieldPosition="0">
        <references count="1">
          <reference field="4294967294" count="5">
            <x v="0"/>
            <x v="1"/>
            <x v="2"/>
            <x v="3"/>
            <x v="4"/>
          </reference>
        </references>
      </pivotArea>
    </format>
    <format dxfId="40">
      <pivotArea dataOnly="0" labelOnly="1" outline="0" fieldPosition="0">
        <references count="1">
          <reference field="4294967294" count="1">
            <x v="0"/>
          </reference>
        </references>
      </pivotArea>
    </format>
    <format dxfId="39">
      <pivotArea dataOnly="0" labelOnly="1" outline="0" fieldPosition="0">
        <references count="1">
          <reference field="4294967294" count="1">
            <x v="1"/>
          </reference>
        </references>
      </pivotArea>
    </format>
    <format dxfId="38">
      <pivotArea dataOnly="0" labelOnly="1" outline="0" fieldPosition="0">
        <references count="1">
          <reference field="4294967294" count="1">
            <x v="2"/>
          </reference>
        </references>
      </pivotArea>
    </format>
    <format dxfId="37">
      <pivotArea dataOnly="0" labelOnly="1" outline="0" fieldPosition="0">
        <references count="1">
          <reference field="4294967294" count="1">
            <x v="4"/>
          </reference>
        </references>
      </pivotArea>
    </format>
    <format dxfId="36">
      <pivotArea dataOnly="0" labelOnly="1" outline="0" fieldPosition="0">
        <references count="1">
          <reference field="4294967294" count="1">
            <x v="3"/>
          </reference>
        </references>
      </pivotArea>
    </format>
    <format dxfId="35">
      <pivotArea field="0" type="button" dataOnly="0" labelOnly="1" outline="0" axis="axisRow" fieldPosition="0"/>
    </format>
    <format dxfId="34">
      <pivotArea dataOnly="0" labelOnly="1" outline="0" fieldPosition="0">
        <references count="1">
          <reference field="0" count="0"/>
        </references>
      </pivotArea>
    </format>
    <format dxfId="33">
      <pivotArea outline="0" fieldPosition="0">
        <references count="1">
          <reference field="4294967294" count="1" selected="0">
            <x v="0"/>
          </reference>
        </references>
      </pivotArea>
    </format>
    <format dxfId="32">
      <pivotArea dataOnly="0" labelOnly="1" outline="0" fieldPosition="0">
        <references count="1">
          <reference field="4294967294" count="1">
            <x v="0"/>
          </reference>
        </references>
      </pivotArea>
    </format>
    <format dxfId="31">
      <pivotArea outline="0" fieldPosition="0">
        <references count="2">
          <reference field="4294967294" count="1" selected="0">
            <x v="0"/>
          </reference>
          <reference field="0" count="1" selected="0">
            <x v="0"/>
          </reference>
        </references>
      </pivotArea>
    </format>
    <format dxfId="30">
      <pivotArea outline="0" fieldPosition="0">
        <references count="2">
          <reference field="4294967294" count="1" selected="0">
            <x v="0"/>
          </reference>
          <reference field="0" count="1" selected="0">
            <x v="1"/>
          </reference>
        </references>
      </pivotArea>
    </format>
    <format dxfId="29">
      <pivotArea outline="0" fieldPosition="0">
        <references count="2">
          <reference field="4294967294" count="1" selected="0">
            <x v="0"/>
          </reference>
          <reference field="0" count="1" selected="0">
            <x v="2"/>
          </reference>
        </references>
      </pivotArea>
    </format>
    <format dxfId="28">
      <pivotArea outline="0" fieldPosition="0">
        <references count="2">
          <reference field="4294967294" count="1" selected="0">
            <x v="0"/>
          </reference>
          <reference field="0" count="1" selected="0">
            <x v="3"/>
          </reference>
        </references>
      </pivotArea>
    </format>
    <format dxfId="27">
      <pivotArea outline="0" fieldPosition="0">
        <references count="2">
          <reference field="4294967294" count="1" selected="0">
            <x v="1"/>
          </reference>
          <reference field="0" count="1" selected="0">
            <x v="0"/>
          </reference>
        </references>
      </pivotArea>
    </format>
    <format dxfId="26">
      <pivotArea outline="0" fieldPosition="0">
        <references count="2">
          <reference field="4294967294" count="1" selected="0">
            <x v="1"/>
          </reference>
          <reference field="0" count="1" selected="0">
            <x v="1"/>
          </reference>
        </references>
      </pivotArea>
    </format>
    <format dxfId="25">
      <pivotArea outline="0" fieldPosition="0">
        <references count="2">
          <reference field="4294967294" count="1" selected="0">
            <x v="1"/>
          </reference>
          <reference field="0" count="1" selected="0">
            <x v="2"/>
          </reference>
        </references>
      </pivotArea>
    </format>
    <format dxfId="24">
      <pivotArea outline="0" fieldPosition="0">
        <references count="2">
          <reference field="4294967294" count="1" selected="0">
            <x v="1"/>
          </reference>
          <reference field="0" count="1" selected="0">
            <x v="3"/>
          </reference>
        </references>
      </pivotArea>
    </format>
    <format dxfId="23">
      <pivotArea outline="0" fieldPosition="0">
        <references count="2">
          <reference field="4294967294" count="1" selected="0">
            <x v="2"/>
          </reference>
          <reference field="0" count="1" selected="0">
            <x v="0"/>
          </reference>
        </references>
      </pivotArea>
    </format>
    <format dxfId="22">
      <pivotArea outline="0" fieldPosition="0">
        <references count="2">
          <reference field="4294967294" count="1" selected="0">
            <x v="2"/>
          </reference>
          <reference field="0" count="1" selected="0">
            <x v="1"/>
          </reference>
        </references>
      </pivotArea>
    </format>
    <format dxfId="21">
      <pivotArea outline="0" fieldPosition="0">
        <references count="2">
          <reference field="4294967294" count="1" selected="0">
            <x v="2"/>
          </reference>
          <reference field="0" count="1" selected="0">
            <x v="2"/>
          </reference>
        </references>
      </pivotArea>
    </format>
    <format dxfId="20">
      <pivotArea outline="0" fieldPosition="0">
        <references count="2">
          <reference field="4294967294" count="1" selected="0">
            <x v="2"/>
          </reference>
          <reference field="0" count="1" selected="0">
            <x v="3"/>
          </reference>
        </references>
      </pivotArea>
    </format>
    <format dxfId="19">
      <pivotArea outline="0" fieldPosition="0">
        <references count="2">
          <reference field="4294967294" count="1" selected="0">
            <x v="3"/>
          </reference>
          <reference field="0" count="1" selected="0">
            <x v="0"/>
          </reference>
        </references>
      </pivotArea>
    </format>
    <format dxfId="18">
      <pivotArea outline="0" fieldPosition="0">
        <references count="2">
          <reference field="4294967294" count="1" selected="0">
            <x v="3"/>
          </reference>
          <reference field="0" count="1" selected="0">
            <x v="1"/>
          </reference>
        </references>
      </pivotArea>
    </format>
    <format dxfId="17">
      <pivotArea outline="0" fieldPosition="0">
        <references count="2">
          <reference field="4294967294" count="1" selected="0">
            <x v="3"/>
          </reference>
          <reference field="0" count="1" selected="0">
            <x v="2"/>
          </reference>
        </references>
      </pivotArea>
    </format>
    <format dxfId="16">
      <pivotArea outline="0" fieldPosition="0">
        <references count="2">
          <reference field="4294967294" count="1" selected="0">
            <x v="3"/>
          </reference>
          <reference field="0" count="1" selected="0">
            <x v="3"/>
          </reference>
        </references>
      </pivotArea>
    </format>
    <format dxfId="15">
      <pivotArea field="0" type="button" dataOnly="0" labelOnly="1" outline="0" axis="axisRow" fieldPosition="0"/>
    </format>
    <format dxfId="14">
      <pivotArea dataOnly="0" labelOnly="1" outline="0" fieldPosition="0">
        <references count="1">
          <reference field="4294967294" count="5">
            <x v="0"/>
            <x v="1"/>
            <x v="2"/>
            <x v="3"/>
            <x v="4"/>
          </reference>
        </references>
      </pivotArea>
    </format>
  </formats>
  <conditionalFormats count="4">
    <conditionalFormat priority="12">
      <pivotAreas count="1">
        <pivotArea type="data" outline="0" collapsedLevelsAreSubtotals="1" fieldPosition="0">
          <references count="1">
            <reference field="4294967294" count="1" selected="0">
              <x v="1"/>
            </reference>
          </references>
        </pivotArea>
      </pivotAreas>
    </conditionalFormat>
    <conditionalFormat priority="3">
      <pivotAreas count="1">
        <pivotArea type="data" outline="0" collapsedLevelsAreSubtotals="1" fieldPosition="0">
          <references count="1">
            <reference field="4294967294" count="1" selected="0">
              <x v="4"/>
            </reference>
          </references>
        </pivotArea>
      </pivotAreas>
    </conditionalFormat>
    <conditionalFormat priority="2">
      <pivotAreas count="1">
        <pivotArea type="data" outline="0" collapsedLevelsAreSubtotals="1" fieldPosition="0">
          <references count="1">
            <reference field="4294967294" count="1" selected="0">
              <x v="3"/>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1" xr16:uid="{657C92B5-95D3-43A4-B1D7-D1ACC040A8F3}" autoFormatId="16" applyNumberFormats="0" applyBorderFormats="0" applyFontFormats="0" applyPatternFormats="0" applyAlignmentFormats="0" applyWidthHeightFormats="0">
  <queryTableRefresh nextId="6">
    <queryTableFields count="5">
      <queryTableField id="1" name="historical_customers" tableColumnId="1"/>
      <queryTableField id="2" name="future_repeat_customers" tableColumnId="2"/>
      <queryTableField id="3" name="future_repeat_purchase_rate" tableColumnId="3"/>
      <queryTableField id="4" name="avg_future_revenue_per_customer" tableColumnId="4"/>
      <queryTableField id="5" name="avg_future_revenue_per_repeat_customer"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96B9AEF-0438-4636-8618-45322FE4B0BC}" autoFormatId="16" applyNumberFormats="0" applyBorderFormats="0" applyFontFormats="0" applyPatternFormats="0" applyAlignmentFormats="0" applyWidthHeightFormats="0">
  <queryTableRefresh nextId="10">
    <queryTableFields count="9">
      <queryTableField id="1" name="customer_segment" tableColumnId="1"/>
      <queryTableField id="2" name="historical_customers" tableColumnId="2"/>
      <queryTableField id="3" name="customer_share_pct" tableColumnId="3"/>
      <queryTableField id="4" name="avg_historical_orders" tableColumnId="4"/>
      <queryTableField id="5" name="avg_historical_revenue_per_customer" tableColumnId="5"/>
      <queryTableField id="6" name="avg_days_since_last_order" tableColumnId="6"/>
      <queryTableField id="7" name="future_repeat_customers" tableColumnId="7"/>
      <queryTableField id="8" name="future_repeat_purchase_rate" tableColumnId="8"/>
      <queryTableField id="9" name="avg_future_revenue_per_customer"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3E45365E-84B6-43C5-948C-AC87ABF0C6FC}" autoFormatId="16" applyNumberFormats="0" applyBorderFormats="0" applyFontFormats="0" applyPatternFormats="0" applyAlignmentFormats="0" applyWidthHeightFormats="0">
  <queryTableRefresh nextId="7">
    <queryTableFields count="6">
      <queryTableField id="1" name="customer_segment" tableColumnId="1"/>
      <queryTableField id="2" name="recency_bin_start" tableColumnId="2"/>
      <queryTableField id="3" name="recency_bin_end" tableColumnId="3"/>
      <queryTableField id="4" name="recency_bin_midpoint" tableColumnId="4"/>
      <queryTableField id="5" name="historical_orders" tableColumnId="5"/>
      <queryTableField id="6" name="customer_coun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9" xr16:uid="{F4FACBA4-2391-4E92-80EC-F2001970C717}" autoFormatId="16" applyNumberFormats="0" applyBorderFormats="0" applyFontFormats="0" applyPatternFormats="0" applyAlignmentFormats="0" applyWidthHeightFormats="0">
  <queryTableRefresh nextId="6">
    <queryTableFields count="5">
      <queryTableField id="1" name="purchase_frequency_group"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8" xr16:uid="{EC92A266-8A86-4D4B-AE65-B60A9138200E}" autoFormatId="16" applyNumberFormats="0" applyBorderFormats="0" applyFontFormats="0" applyPatternFormats="0" applyAlignmentFormats="0" applyWidthHeightFormats="0">
  <queryTableRefresh nextId="6">
    <queryTableFields count="5">
      <queryTableField id="1" name="historical_spending_group"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7" xr16:uid="{14A0B04E-4321-40F7-96D1-358DBC46A0D2}" autoFormatId="16" applyNumberFormats="0" applyBorderFormats="0" applyFontFormats="0" applyPatternFormats="0" applyAlignmentFormats="0" applyWidthHeightFormats="0">
  <queryTableRefresh nextId="6">
    <queryTableFields count="5">
      <queryTableField id="1" name="historical_aov_group"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10" xr16:uid="{80448E08-5C7D-408E-8BF2-7A51863A9308}" autoFormatId="16" applyNumberFormats="0" applyBorderFormats="0" applyFontFormats="0" applyPatternFormats="0" applyAlignmentFormats="0" applyWidthHeightFormats="0">
  <queryTableRefresh nextId="6">
    <queryTableFields count="5">
      <queryTableField id="1" name="recency_group"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6" connectionId="6" xr16:uid="{532B6529-3677-4FE3-A386-244A33D7F70E}" autoFormatId="16" applyNumberFormats="0" applyBorderFormats="0" applyFontFormats="0" applyPatternFormats="0" applyAlignmentFormats="0" applyWidthHeightFormats="0">
  <queryTableRefresh nextId="5">
    <queryTableFields count="4">
      <queryTableField id="1" name="engagement_group" tableColumnId="1"/>
      <queryTableField id="2" name="historical_customers" tableColumnId="2"/>
      <queryTableField id="3" name="future_repeat_customers" tableColumnId="3"/>
      <queryTableField id="4" name="future_repeat_purchase_rate" tableColumnId="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7" connectionId="5" xr16:uid="{878F2724-D03C-4B97-8C9B-9B582CB673F3}" autoFormatId="16" applyNumberFormats="0" applyBorderFormats="0" applyFontFormats="0" applyPatternFormats="0" applyAlignmentFormats="0" applyWidthHeightFormats="0">
  <queryTableRefresh nextId="4">
    <queryTableFields count="3">
      <queryTableField id="1" name="engagement_group" tableColumnId="1"/>
      <queryTableField id="2" name="historical_customers" tableColumnId="2"/>
      <queryTableField id="3" name="avg_future_revenue_per_customer"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8" connectionId="4" xr16:uid="{3EB4609D-2A21-4409-93B9-AE2CD1E36E2A}" autoFormatId="16" applyNumberFormats="0" applyBorderFormats="0" applyFontFormats="0" applyPatternFormats="0" applyAlignmentFormats="0" applyWidthHeightFormats="0">
  <queryTableRefresh nextId="7">
    <queryTableFields count="6">
      <queryTableField id="1" name="behavior" tableColumnId="1"/>
      <queryTableField id="2" name="customers_performed" tableColumnId="2"/>
      <queryTableField id="3" name="customers_not_performed" tableColumnId="3"/>
      <queryTableField id="4" name="repeat_rate_performed" tableColumnId="4"/>
      <queryTableField id="5" name="repeat_rate_not_performed" tableColumnId="5"/>
      <queryTableField id="6" name="repeat_rate_lift_percentage_points" tableColumnId="6"/>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9" connectionId="3" xr16:uid="{AF69B719-926A-48CC-A981-4C335E76C8C1}" autoFormatId="16" applyNumberFormats="0" applyBorderFormats="0" applyFontFormats="0" applyPatternFormats="0" applyAlignmentFormats="0" applyWidthHeightFormats="0">
  <queryTableRefresh nextId="8">
    <queryTableFields count="7">
      <queryTableField id="1" name="behavior" tableColumnId="1"/>
      <queryTableField id="2" name="customers_performed" tableColumnId="2"/>
      <queryTableField id="3" name="customers_not_performed" tableColumnId="3"/>
      <queryTableField id="4" name="avg_future_revenue_performed" tableColumnId="4"/>
      <queryTableField id="5" name="avg_future_revenue_not_performed" tableColumnId="5"/>
      <queryTableField id="6" name="future_revenue_difference" tableColumnId="6"/>
      <queryTableField id="7" name="future_revenue_lift_pct" tableColumnId="7"/>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0" connectionId="15" xr16:uid="{F5EB00FA-A1AF-41CB-81CF-81ABCD71FC16}" autoFormatId="16" applyNumberFormats="0" applyBorderFormats="0" applyFontFormats="0" applyPatternFormats="0" applyAlignmentFormats="0" applyWidthHeightFormats="0">
  <queryTableRefresh nextId="6">
    <queryTableFields count="5">
      <queryTableField id="1" name="support_frequency_group"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1" connectionId="14" xr16:uid="{FF2A8629-B55A-4BF8-B47F-B0B1226276B5}" autoFormatId="16" applyNumberFormats="0" applyBorderFormats="0" applyFontFormats="0" applyPatternFormats="0" applyAlignmentFormats="0" applyWidthHeightFormats="0">
  <queryTableRefresh nextId="6">
    <queryTableFields count="5">
      <queryTableField id="1" name="sentiment"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2" connectionId="13" xr16:uid="{FA8E2179-7620-4E5C-A922-82F80841577A}" autoFormatId="16" applyNumberFormats="0" applyBorderFormats="0" applyFontFormats="0" applyPatternFormats="0" applyAlignmentFormats="0" applyWidthHeightFormats="0">
  <queryTableRefresh nextId="6">
    <queryTableFields count="5">
      <queryTableField id="1" name="resolution_time_group"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3" connectionId="12" xr16:uid="{34AFB545-CD4F-472F-B45E-41800E782891}" autoFormatId="16" applyNumberFormats="0" applyBorderFormats="0" applyFontFormats="0" applyPatternFormats="0" applyAlignmentFormats="0" applyWidthHeightFormats="0">
  <queryTableRefresh nextId="6">
    <queryTableFields count="5">
      <queryTableField id="1" name="issue_type"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394617-A8E9-4B33-830C-FEC7DE216695}" name="Retention_Overview_KPIs" displayName="Retention_Overview_KPIs" ref="A1:E2" tableType="queryTable" totalsRowShown="0">
  <autoFilter ref="A1:E2" xr:uid="{DC394617-A8E9-4B33-830C-FEC7DE216695}"/>
  <tableColumns count="5">
    <tableColumn id="1" xr3:uid="{19EF146F-06D2-41B8-A873-76AADB0A8153}" uniqueName="1" name="historical_customers" queryTableFieldId="1"/>
    <tableColumn id="2" xr3:uid="{6D8B16A9-7207-4190-B6E7-1B0512BFAD46}" uniqueName="2" name="future_repeat_customers" queryTableFieldId="2"/>
    <tableColumn id="3" xr3:uid="{437777B8-C83A-40F3-A3A6-9E8CE8EA1C41}" uniqueName="3" name="future_repeat_purchase_rate" queryTableFieldId="3"/>
    <tableColumn id="4" xr3:uid="{28C03842-2F6B-4EA3-995D-42A702152041}" uniqueName="4" name="avg_future_revenue_per_customer" queryTableFieldId="4"/>
    <tableColumn id="5" xr3:uid="{D2D15F66-97A5-4DBC-8A39-034FAE61B06C}" uniqueName="5" name="avg_future_revenue_per_repeat_customer"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2D12B7-8EC2-42D3-87F8-81019DD3374A}" name="Customer_Retention_Segments" displayName="Customer_Retention_Segments" ref="A1:I5" tableType="queryTable" totalsRowShown="0">
  <autoFilter ref="A1:I5" xr:uid="{4C2D12B7-8EC2-42D3-87F8-81019DD3374A}"/>
  <tableColumns count="9">
    <tableColumn id="1" xr3:uid="{2B7AC9FC-7CD9-422F-90C9-CB98C28575E3}" uniqueName="1" name="customer_segment" queryTableFieldId="1" dataDxfId="13"/>
    <tableColumn id="2" xr3:uid="{0BB33F99-A277-49B5-B409-F6DAD6B6A43E}" uniqueName="2" name="historical_customers" queryTableFieldId="2"/>
    <tableColumn id="3" xr3:uid="{4587723D-694B-4263-918C-58590E1C2883}" uniqueName="3" name="customer_share_pct" queryTableFieldId="3"/>
    <tableColumn id="4" xr3:uid="{05AA92D4-946E-440D-963B-7751EA2BC2D9}" uniqueName="4" name="avg_historical_orders" queryTableFieldId="4"/>
    <tableColumn id="5" xr3:uid="{0B85E96D-1122-4490-B0CD-F7B8BA115811}" uniqueName="5" name="avg_historical_revenue_per_customer" queryTableFieldId="5"/>
    <tableColumn id="6" xr3:uid="{4DA3B8B8-4B04-4854-AE8B-18A42282D169}" uniqueName="6" name="avg_days_since_last_order" queryTableFieldId="6"/>
    <tableColumn id="7" xr3:uid="{18A3A7B4-2DB4-433C-86EC-86FEE93EB131}" uniqueName="7" name="future_repeat_customers" queryTableFieldId="7"/>
    <tableColumn id="8" xr3:uid="{FD83F312-73B6-4669-A218-2600526B543D}" uniqueName="8" name="future_repeat_purchase_rate" queryTableFieldId="8"/>
    <tableColumn id="9" xr3:uid="{2FDEA1CA-204D-4CC0-BCF2-BD4E3E8E6FB8}" uniqueName="9" name="avg_future_revenue_per_customer"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35C04BA-60E4-4DF7-BA0A-91481DC6186C}" name="Customer_Segment_Bubble_Data" displayName="Customer_Segment_Bubble_Data" ref="A1:F765" tableType="queryTable" totalsRowShown="0">
  <autoFilter ref="A1:F765" xr:uid="{035C04BA-60E4-4DF7-BA0A-91481DC6186C}"/>
  <tableColumns count="6">
    <tableColumn id="1" xr3:uid="{AA0C5335-0F44-498F-8411-68A0268D8A2D}" uniqueName="1" name="customer_segment" queryTableFieldId="1" dataDxfId="12"/>
    <tableColumn id="2" xr3:uid="{464D6333-54ED-4069-9892-3A14F3394D73}" uniqueName="2" name="recency_bin_start" queryTableFieldId="2"/>
    <tableColumn id="3" xr3:uid="{ADEDD7DE-A9B5-41B8-9CFF-506D2C15E0F5}" uniqueName="3" name="recency_bin_end" queryTableFieldId="3"/>
    <tableColumn id="4" xr3:uid="{EBFDD559-A812-4F62-887E-29EBB31C38DB}" uniqueName="4" name="recency_bin_midpoint" queryTableFieldId="4"/>
    <tableColumn id="5" xr3:uid="{F44F258A-C2E4-42E9-ADB6-F8E1AA7D797F}" uniqueName="5" name="historical_orders" queryTableFieldId="5"/>
    <tableColumn id="6" xr3:uid="{F46CBA7D-62FD-4A5C-8BAC-E50609386F2E}" uniqueName="6" name="customer_count" queryTableField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2FB777-99C0-4016-8598-AF09DE7C4B14}" name="Purchase_Frequency_Analysis" displayName="Purchase_Frequency_Analysis" ref="A1:E6" tableType="queryTable" totalsRowShown="0">
  <autoFilter ref="A1:E6" xr:uid="{772FB777-99C0-4016-8598-AF09DE7C4B14}"/>
  <tableColumns count="5">
    <tableColumn id="1" xr3:uid="{05A57548-2241-406B-9322-2B9140D7C4D0}" uniqueName="1" name="purchase_frequency_group" queryTableFieldId="1" dataDxfId="11"/>
    <tableColumn id="2" xr3:uid="{E83BA1EC-7071-4530-BF3F-F2A7C089B3E4}" uniqueName="2" name="historical_customers" queryTableFieldId="2"/>
    <tableColumn id="3" xr3:uid="{23A4EAAC-F7AC-4C25-8CE3-9B224C89F59B}" uniqueName="3" name="future_repeat_customers" queryTableFieldId="3"/>
    <tableColumn id="4" xr3:uid="{86DE6BE3-46C0-49DB-9D5A-8C58794CE4E0}" uniqueName="4" name="future_repeat_purchase_rate" queryTableFieldId="4"/>
    <tableColumn id="5" xr3:uid="{C49EAE72-DC23-42C4-A34C-33C651E3EBCE}" uniqueName="5" name="avg_future_revenue_per_customer"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6CA41F-2D7D-478D-981E-BB7FB66992F6}" name="Historical_Spending_Analysis" displayName="Historical_Spending_Analysis" ref="A1:E5" tableType="queryTable" totalsRowShown="0">
  <autoFilter ref="A1:E5" xr:uid="{4F6CA41F-2D7D-478D-981E-BB7FB66992F6}"/>
  <tableColumns count="5">
    <tableColumn id="1" xr3:uid="{5904DE47-B415-4A70-B4B2-59AA760F7E74}" uniqueName="1" name="historical_spending_group" queryTableFieldId="1" dataDxfId="10"/>
    <tableColumn id="2" xr3:uid="{EA480E54-B29C-4D79-8E7C-8686EBEA91AF}" uniqueName="2" name="historical_customers" queryTableFieldId="2"/>
    <tableColumn id="3" xr3:uid="{A2208312-6A9C-4F57-83B9-E1B924CEE785}" uniqueName="3" name="future_repeat_customers" queryTableFieldId="3"/>
    <tableColumn id="4" xr3:uid="{3D77B6FD-3921-4B6F-AFBD-3E9AB39ED7A7}" uniqueName="4" name="future_repeat_purchase_rate" queryTableFieldId="4"/>
    <tableColumn id="5" xr3:uid="{D8577B72-1966-4B95-8D36-1D8C6A40FB23}" uniqueName="5" name="avg_future_revenue_per_customer"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3D55A9-1C01-4A98-9759-FBF22F92E982}" name="Historical_AOV_Analysis" displayName="Historical_AOV_Analysis" ref="A1:E5" tableType="queryTable" totalsRowShown="0">
  <autoFilter ref="A1:E5" xr:uid="{A63D55A9-1C01-4A98-9759-FBF22F92E982}"/>
  <tableColumns count="5">
    <tableColumn id="1" xr3:uid="{5DAC88E5-B447-4BC8-BA9F-93316B7FF40C}" uniqueName="1" name="historical_aov_group" queryTableFieldId="1" dataDxfId="9"/>
    <tableColumn id="2" xr3:uid="{98BC6232-AE42-404B-A417-3DAE83A1B694}" uniqueName="2" name="historical_customers" queryTableFieldId="2"/>
    <tableColumn id="3" xr3:uid="{03B3FD0E-1D21-490B-B1FA-2510C035A909}" uniqueName="3" name="future_repeat_customers" queryTableFieldId="3"/>
    <tableColumn id="4" xr3:uid="{A570E313-F534-4249-A8B2-43E5047EF795}" uniqueName="4" name="future_repeat_purchase_rate" queryTableFieldId="4"/>
    <tableColumn id="5" xr3:uid="{0F6C0C5E-FF5A-4924-BC21-7563AEC61E98}" uniqueName="5" name="avg_future_revenue_per_customer" queryTableField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FEA7A58-FFD8-4BBD-87FC-02A68F6F64AF}" name="Purchase_Recency_Analysis" displayName="Purchase_Recency_Analysis" ref="A1:E6" tableType="queryTable" totalsRowShown="0">
  <autoFilter ref="A1:E6" xr:uid="{4FEA7A58-FFD8-4BBD-87FC-02A68F6F64AF}"/>
  <tableColumns count="5">
    <tableColumn id="1" xr3:uid="{CB93FDBA-B3F6-443F-91F3-7B5C5E028785}" uniqueName="1" name="recency_group" queryTableFieldId="1" dataDxfId="8"/>
    <tableColumn id="2" xr3:uid="{250A6B2E-0A45-411A-BA17-DC8B2F20E61E}" uniqueName="2" name="historical_customers" queryTableFieldId="2"/>
    <tableColumn id="3" xr3:uid="{1CC7E1E1-0345-4C96-938B-2D5B2921D64D}" uniqueName="3" name="future_repeat_customers" queryTableFieldId="3"/>
    <tableColumn id="4" xr3:uid="{C1400AC7-1D5E-41E9-9E8F-EA70C7064E0F}" uniqueName="4" name="future_repeat_purchase_rate" queryTableFieldId="4"/>
    <tableColumn id="5" xr3:uid="{D1C09EF4-B464-4461-8628-159BE10F1AE2}" uniqueName="5" name="avg_future_revenue_per_customer" queryTableFieldId="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DFC1F4-9CAD-421D-9F28-CA3B970049A7}" name="Digital_Engagement___Repeat_Purchasing" displayName="Digital_Engagement___Repeat_Purchasing" ref="A1:D5" tableType="queryTable" totalsRowShown="0">
  <autoFilter ref="A1:D5" xr:uid="{44DFC1F4-9CAD-421D-9F28-CA3B970049A7}"/>
  <tableColumns count="4">
    <tableColumn id="1" xr3:uid="{B568EDC1-85AF-450A-9FF7-0E1271373AFD}" uniqueName="1" name="engagement_group" queryTableFieldId="1" dataDxfId="7"/>
    <tableColumn id="2" xr3:uid="{690ABBAD-AD44-4EC9-999D-DC13548B66FA}" uniqueName="2" name="historical_customers" queryTableFieldId="2"/>
    <tableColumn id="3" xr3:uid="{796061E6-6B54-472E-95B7-2553F2EDF2D4}" uniqueName="3" name="future_repeat_customers" queryTableFieldId="3"/>
    <tableColumn id="4" xr3:uid="{9D35F3DD-DA39-405D-AF7B-67845FCA1EC8}" uniqueName="4" name="future_repeat_purchase_rate" queryTableFieldId="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BD07CA5-E338-499E-A6C8-5FBE739AA0E8}" name="Digital_Engagement___Future_Value" displayName="Digital_Engagement___Future_Value" ref="A1:C5" tableType="queryTable" totalsRowShown="0">
  <autoFilter ref="A1:C5" xr:uid="{DBD07CA5-E338-499E-A6C8-5FBE739AA0E8}"/>
  <tableColumns count="3">
    <tableColumn id="1" xr3:uid="{1B83B678-543D-413D-842E-045DBE1C4927}" uniqueName="1" name="engagement_group" queryTableFieldId="1" dataDxfId="6"/>
    <tableColumn id="2" xr3:uid="{55B26E22-40A9-4F6E-B30D-3E226B5CF887}" uniqueName="2" name="historical_customers" queryTableFieldId="2"/>
    <tableColumn id="3" xr3:uid="{CABA8AB8-1247-4DAA-81BA-05D7134DE0ED}" uniqueName="3" name="avg_future_revenue_per_customer" queryTableFieldId="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A0D50D8-6D75-43EC-95FD-75AF23BE0BEA}" name="Digital_Behavior___Repeat_Purchasing" displayName="Digital_Behavior___Repeat_Purchasing" ref="A1:F5" tableType="queryTable" totalsRowShown="0">
  <autoFilter ref="A1:F5" xr:uid="{7A0D50D8-6D75-43EC-95FD-75AF23BE0BEA}"/>
  <tableColumns count="6">
    <tableColumn id="1" xr3:uid="{8E45AB67-12F8-486B-B78F-36A7121443C4}" uniqueName="1" name="behavior" queryTableFieldId="1" dataDxfId="5"/>
    <tableColumn id="2" xr3:uid="{2A7A560B-C242-4201-B112-294770EBD08E}" uniqueName="2" name="customers_performed" queryTableFieldId="2"/>
    <tableColumn id="3" xr3:uid="{F858C8FC-1F33-4C96-89C1-9F3FE0A666C4}" uniqueName="3" name="customers_not_performed" queryTableFieldId="3"/>
    <tableColumn id="4" xr3:uid="{03EB230C-6895-4F72-A587-1714531F83D2}" uniqueName="4" name="repeat_rate_performed" queryTableFieldId="4"/>
    <tableColumn id="5" xr3:uid="{7776C612-DDA8-4A82-AADF-2548308D231C}" uniqueName="5" name="repeat_rate_not_performed" queryTableFieldId="5"/>
    <tableColumn id="6" xr3:uid="{F118791E-3EDC-4CC4-9D36-22EEA0F8B060}" uniqueName="6" name="repeat_rate_lift_percentage_points" queryTableFieldId="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8FEA19-EFE5-4E0E-868C-E2CC8E17AC64}" name="Digital_Behavior___Future_Value" displayName="Digital_Behavior___Future_Value" ref="A1:G5" tableType="queryTable" totalsRowShown="0">
  <autoFilter ref="A1:G5" xr:uid="{AB8FEA19-EFE5-4E0E-868C-E2CC8E17AC64}"/>
  <tableColumns count="7">
    <tableColumn id="1" xr3:uid="{669D6F2A-0DE1-41E1-B0D4-86836CCD6A49}" uniqueName="1" name="behavior" queryTableFieldId="1" dataDxfId="4"/>
    <tableColumn id="2" xr3:uid="{174365AF-BD60-46E2-8239-7D58483538AE}" uniqueName="2" name="customers_performed" queryTableFieldId="2"/>
    <tableColumn id="3" xr3:uid="{85E7C471-76C8-4B59-BF59-34047185B4E7}" uniqueName="3" name="customers_not_performed" queryTableFieldId="3"/>
    <tableColumn id="4" xr3:uid="{176B05C1-4126-4EE0-BAC7-ADABC701EFD7}" uniqueName="4" name="avg_future_revenue_performed" queryTableFieldId="4"/>
    <tableColumn id="5" xr3:uid="{FA16C789-9994-409D-8684-E4A86174E6AA}" uniqueName="5" name="avg_future_revenue_not_performed" queryTableFieldId="5"/>
    <tableColumn id="6" xr3:uid="{07D8B086-8094-40B1-AE6B-C3FBC1EA23BA}" uniqueName="6" name="future_revenue_difference" queryTableFieldId="6"/>
    <tableColumn id="7" xr3:uid="{0031EB4B-CBB7-4091-BC10-0A260DB5E321}" uniqueName="7" name="future_revenue_lift_pct" queryTableFieldId="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12B487A-DF63-4DE9-B3FB-4BF0ED759C83}" name="Support_Ticket_Frequency_Analysis" displayName="Support_Ticket_Frequency_Analysis" ref="A1:E5" tableType="queryTable" totalsRowShown="0">
  <autoFilter ref="A1:E5" xr:uid="{312B487A-DF63-4DE9-B3FB-4BF0ED759C83}"/>
  <tableColumns count="5">
    <tableColumn id="1" xr3:uid="{615448DB-0128-453D-926E-5A974B6146F7}" uniqueName="1" name="support_frequency_group" queryTableFieldId="1" dataDxfId="3"/>
    <tableColumn id="2" xr3:uid="{252AB1A4-531F-4E05-9627-FF7BE9123904}" uniqueName="2" name="historical_customers" queryTableFieldId="2"/>
    <tableColumn id="3" xr3:uid="{CDEA0D4F-79A5-4239-B77C-C4387EE1D9F8}" uniqueName="3" name="future_repeat_customers" queryTableFieldId="3"/>
    <tableColumn id="4" xr3:uid="{38DE69DA-7155-47EB-A0DA-620FD598FE9A}" uniqueName="4" name="future_repeat_purchase_rate" queryTableFieldId="4"/>
    <tableColumn id="5" xr3:uid="{92505CA2-4813-40AF-AD28-0AC2E72547E4}" uniqueName="5" name="avg_future_revenue_per_customer" queryTableFieldId="5"/>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53E24F3-0DBB-46CD-8031-68EEDC140C24}" name="Support_Sentiment_Analysis" displayName="Support_Sentiment_Analysis" ref="A1:E4" tableType="queryTable" totalsRowShown="0">
  <autoFilter ref="A1:E4" xr:uid="{B53E24F3-0DBB-46CD-8031-68EEDC140C24}"/>
  <tableColumns count="5">
    <tableColumn id="1" xr3:uid="{D1F8AF6D-B789-4B76-A18A-08E30C3A516C}" uniqueName="1" name="sentiment" queryTableFieldId="1" dataDxfId="2"/>
    <tableColumn id="2" xr3:uid="{9D72215F-2070-4C71-9B24-043C1E8E64F5}" uniqueName="2" name="historical_customers" queryTableFieldId="2"/>
    <tableColumn id="3" xr3:uid="{F41AA1A2-137E-4633-A086-DFE7C1340456}" uniqueName="3" name="future_repeat_customers" queryTableFieldId="3"/>
    <tableColumn id="4" xr3:uid="{09E1B25D-1F1B-4B54-8CFF-72672D017B6F}" uniqueName="4" name="future_repeat_purchase_rate" queryTableFieldId="4"/>
    <tableColumn id="5" xr3:uid="{E06E1437-BC68-4319-860F-44D09F3A378C}" uniqueName="5" name="avg_future_revenue_per_customer" queryTableFieldId="5"/>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FD46C65-DC41-40D0-A123-4E88DBE287FC}" name="Support_Resolution_Time_Analysis" displayName="Support_Resolution_Time_Analysis" ref="A1:E5" tableType="queryTable" totalsRowShown="0">
  <autoFilter ref="A1:E5" xr:uid="{3FD46C65-DC41-40D0-A123-4E88DBE287FC}"/>
  <tableColumns count="5">
    <tableColumn id="1" xr3:uid="{7A7BD394-2342-432F-9383-88A28AD6F347}" uniqueName="1" name="resolution_time_group" queryTableFieldId="1" dataDxfId="1"/>
    <tableColumn id="2" xr3:uid="{5062683D-1EF2-470F-868C-884A6E0EC3D8}" uniqueName="2" name="historical_customers" queryTableFieldId="2"/>
    <tableColumn id="3" xr3:uid="{ACB8498B-75DA-4543-9C58-7B2044C7B41E}" uniqueName="3" name="future_repeat_customers" queryTableFieldId="3"/>
    <tableColumn id="4" xr3:uid="{F617FA68-6EA9-4006-A6C0-EB4CD9E93DCB}" uniqueName="4" name="future_repeat_purchase_rate" queryTableFieldId="4"/>
    <tableColumn id="5" xr3:uid="{67A9181C-1AA2-45DA-BBBA-8D3D8E5259C2}" uniqueName="5" name="avg_future_revenue_per_customer" queryTableFieldId="5"/>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41349BF-2A1F-4E8C-8ABD-41B9313523BC}" name="Support_Issue_Type_Analysis" displayName="Support_Issue_Type_Analysis" ref="A1:E5" tableType="queryTable" totalsRowShown="0">
  <autoFilter ref="A1:E5" xr:uid="{041349BF-2A1F-4E8C-8ABD-41B9313523BC}"/>
  <tableColumns count="5">
    <tableColumn id="1" xr3:uid="{F212C0D9-F630-402E-AD11-E542B5852CF4}" uniqueName="1" name="issue_type" queryTableFieldId="1" dataDxfId="0"/>
    <tableColumn id="2" xr3:uid="{75F524CF-04F0-4A35-9ED3-747B2B40D9EE}" uniqueName="2" name="historical_customers" queryTableFieldId="2"/>
    <tableColumn id="3" xr3:uid="{329FA50E-886C-4039-8E6B-17DBE81A772F}" uniqueName="3" name="future_repeat_customers" queryTableFieldId="3"/>
    <tableColumn id="4" xr3:uid="{EEC20C3E-9673-43AA-88F1-11A1664D9A84}" uniqueName="4" name="future_repeat_purchase_rate" queryTableFieldId="4"/>
    <tableColumn id="5" xr3:uid="{05CABB43-FBA8-43C6-8EE3-75301B443240}" uniqueName="5" name="avg_future_revenue_per_customer"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6A75D-9625-458D-A1DE-E95AF2227BD2}">
  <dimension ref="B1:G21"/>
  <sheetViews>
    <sheetView tabSelected="1" zoomScaleNormal="100" workbookViewId="0">
      <selection activeCell="K10" sqref="K10"/>
    </sheetView>
  </sheetViews>
  <sheetFormatPr defaultColWidth="9.1796875" defaultRowHeight="15" customHeight="1" x14ac:dyDescent="0.35"/>
  <cols>
    <col min="1" max="1" width="1.7265625" style="2" customWidth="1"/>
    <col min="2" max="2" width="26" style="2" customWidth="1"/>
    <col min="3" max="3" width="18.453125" style="2" customWidth="1"/>
    <col min="4" max="4" width="26" style="2" customWidth="1"/>
    <col min="5" max="5" width="22.1796875" style="2" customWidth="1"/>
    <col min="6" max="6" width="24.26953125" style="2" customWidth="1"/>
    <col min="7" max="7" width="50.7265625" style="2" customWidth="1"/>
    <col min="8" max="8" width="23.54296875" style="2" customWidth="1"/>
    <col min="9" max="9" width="15.1796875" style="2" customWidth="1"/>
    <col min="10" max="10" width="24.81640625" style="2" customWidth="1"/>
    <col min="11" max="11" width="19.81640625" style="2" customWidth="1"/>
    <col min="12" max="12" width="22.7265625" style="2" customWidth="1"/>
    <col min="13" max="13" width="50.81640625" style="2" customWidth="1"/>
    <col min="14" max="14" width="13.54296875" style="2" customWidth="1"/>
    <col min="15" max="15" width="10.1796875" style="2" customWidth="1"/>
    <col min="16" max="16" width="10.26953125" style="2" customWidth="1"/>
    <col min="17" max="17" width="18" style="2" customWidth="1"/>
    <col min="18" max="18" width="14.26953125" style="2" customWidth="1"/>
    <col min="19" max="16384" width="9.1796875" style="2"/>
  </cols>
  <sheetData>
    <row r="1" spans="2:7" ht="15" customHeight="1" x14ac:dyDescent="0.35">
      <c r="C1" s="4"/>
      <c r="D1" s="4"/>
      <c r="E1" s="4"/>
      <c r="F1" s="4"/>
      <c r="G1" s="4"/>
    </row>
    <row r="2" spans="2:7" ht="15" customHeight="1" x14ac:dyDescent="0.35">
      <c r="C2" s="3"/>
    </row>
    <row r="8" spans="2:7" ht="48" customHeight="1" x14ac:dyDescent="0.35"/>
    <row r="9" spans="2:7" ht="75.650000000000006" customHeight="1" x14ac:dyDescent="0.35">
      <c r="E9" s="9"/>
    </row>
    <row r="10" spans="2:7" ht="38.25" customHeight="1" x14ac:dyDescent="0.35"/>
    <row r="11" spans="2:7" ht="75.650000000000006" customHeight="1" x14ac:dyDescent="0.35"/>
    <row r="12" spans="2:7" ht="48.75" customHeight="1" x14ac:dyDescent="0.35"/>
    <row r="14" spans="2:7" ht="21" customHeight="1" x14ac:dyDescent="0.35"/>
    <row r="15" spans="2:7" ht="14.5" x14ac:dyDescent="0.35">
      <c r="B15" s="39" t="s">
        <v>70</v>
      </c>
      <c r="C15" s="40" t="s">
        <v>71</v>
      </c>
      <c r="D15" s="41" t="s">
        <v>93</v>
      </c>
      <c r="E15" s="41" t="s">
        <v>72</v>
      </c>
      <c r="F15" s="42" t="s">
        <v>73</v>
      </c>
      <c r="G15" s="39" t="s">
        <v>92</v>
      </c>
    </row>
    <row r="16" spans="2:7" ht="26.25" customHeight="1" x14ac:dyDescent="0.35">
      <c r="B16" s="10" t="s">
        <v>10</v>
      </c>
      <c r="C16" s="28">
        <v>7099</v>
      </c>
      <c r="D16" s="30">
        <v>14.84</v>
      </c>
      <c r="E16" s="32">
        <v>8.58</v>
      </c>
      <c r="F16" s="34">
        <v>370116.32</v>
      </c>
      <c r="G16" s="11">
        <v>39.200000000000003</v>
      </c>
    </row>
    <row r="17" spans="2:7" ht="26.25" customHeight="1" x14ac:dyDescent="0.35">
      <c r="B17" s="10" t="s">
        <v>11</v>
      </c>
      <c r="C17" s="28">
        <v>4843</v>
      </c>
      <c r="D17" s="30">
        <v>10.119999999999999</v>
      </c>
      <c r="E17" s="32">
        <v>8.09</v>
      </c>
      <c r="F17" s="34">
        <v>341691</v>
      </c>
      <c r="G17" s="11">
        <v>174.6</v>
      </c>
    </row>
    <row r="18" spans="2:7" ht="26.25" customHeight="1" x14ac:dyDescent="0.35">
      <c r="B18" s="10" t="s">
        <v>12</v>
      </c>
      <c r="C18" s="28">
        <v>12792</v>
      </c>
      <c r="D18" s="30">
        <v>26.74</v>
      </c>
      <c r="E18" s="32">
        <v>4.49</v>
      </c>
      <c r="F18" s="34">
        <v>199172.4</v>
      </c>
      <c r="G18" s="11">
        <v>42.7</v>
      </c>
    </row>
    <row r="19" spans="2:7" ht="26.25" customHeight="1" thickBot="1" x14ac:dyDescent="0.4">
      <c r="B19" s="27" t="s">
        <v>13</v>
      </c>
      <c r="C19" s="29">
        <v>23101</v>
      </c>
      <c r="D19" s="31">
        <v>48.29</v>
      </c>
      <c r="E19" s="33">
        <v>3.83</v>
      </c>
      <c r="F19" s="35">
        <v>166517.37</v>
      </c>
      <c r="G19" s="12">
        <v>268.7</v>
      </c>
    </row>
    <row r="20" spans="2:7" ht="17.149999999999999" customHeight="1" thickTop="1" x14ac:dyDescent="0.35"/>
    <row r="21" spans="2:7" ht="51.75" customHeight="1" x14ac:dyDescent="0.35"/>
  </sheetData>
  <conditionalFormatting pivot="1" sqref="D16:D19">
    <cfRule type="dataBar" priority="12">
      <dataBar>
        <cfvo type="num" val="0"/>
        <cfvo type="num" val="100"/>
        <color theme="3" tint="9.9978637043366805E-2"/>
      </dataBar>
      <extLst>
        <ext xmlns:x14="http://schemas.microsoft.com/office/spreadsheetml/2009/9/main" uri="{B025F937-C7B1-47D3-B67F-A62EFF666E3E}">
          <x14:id>{03CC4845-EA77-46EA-B558-4DC66E1A924A}</x14:id>
        </ext>
      </extLst>
    </cfRule>
  </conditionalFormatting>
  <conditionalFormatting pivot="1" sqref="G16:G19">
    <cfRule type="colorScale" priority="3">
      <colorScale>
        <cfvo type="min"/>
        <cfvo type="max"/>
        <color theme="3" tint="0.499984740745262"/>
        <color theme="3" tint="0.249977111117893"/>
      </colorScale>
    </cfRule>
  </conditionalFormatting>
  <conditionalFormatting pivot="1" sqref="F16:F19">
    <cfRule type="colorScale" priority="2">
      <colorScale>
        <cfvo type="min"/>
        <cfvo type="max"/>
        <color theme="3" tint="0.499984740745262"/>
        <color theme="3" tint="0.249977111117893"/>
      </colorScale>
    </cfRule>
  </conditionalFormatting>
  <conditionalFormatting pivot="1" sqref="E16:E19">
    <cfRule type="colorScale" priority="1">
      <colorScale>
        <cfvo type="min"/>
        <cfvo type="max"/>
        <color theme="3" tint="0.499984740745262"/>
        <color theme="3" tint="0.249977111117893"/>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3CC4845-EA77-46EA-B558-4DC66E1A924A}">
            <x14:dataBar minLength="0" maxLength="100" gradient="0">
              <x14:cfvo type="num">
                <xm:f>0</xm:f>
              </x14:cfvo>
              <x14:cfvo type="num">
                <xm:f>100</xm:f>
              </x14:cfvo>
              <x14:negativeFillColor rgb="FFFF0000"/>
              <x14:axisColor rgb="FF000000"/>
            </x14:dataBar>
          </x14:cfRule>
          <xm:sqref>D16:D19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7630-9D4C-4AC2-AFF9-AB4A3AEC6EA3}">
  <dimension ref="A1"/>
  <sheetViews>
    <sheetView showGridLines="0" zoomScaleNormal="100" workbookViewId="0">
      <selection activeCell="Z12" sqref="Z12"/>
    </sheetView>
  </sheetViews>
  <sheetFormatPr defaultColWidth="9.1796875" defaultRowHeight="15" customHeight="1" x14ac:dyDescent="0.35"/>
  <cols>
    <col min="1" max="7" width="9.1796875" style="7"/>
    <col min="8" max="8" width="9.1796875" style="7" customWidth="1"/>
    <col min="9" max="9" width="9.1796875" style="7"/>
    <col min="10" max="11" width="9.1796875" style="7" customWidth="1"/>
    <col min="12" max="21" width="9.1796875" style="7"/>
    <col min="22" max="22" width="10.54296875" style="7" customWidth="1"/>
    <col min="23" max="23" width="16.26953125" style="7" customWidth="1"/>
    <col min="24" max="24" width="9.1796875" style="7" customWidth="1"/>
    <col min="25" max="16384" width="9.1796875" style="7"/>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321C7-96DF-4111-95D5-C98D17E1BCAC}">
  <dimension ref="N16:U33"/>
  <sheetViews>
    <sheetView showGridLines="0" zoomScaleNormal="100" workbookViewId="0">
      <selection activeCell="AA20" sqref="AA20"/>
    </sheetView>
  </sheetViews>
  <sheetFormatPr defaultColWidth="9.1796875" defaultRowHeight="15" customHeight="1" x14ac:dyDescent="0.35"/>
  <cols>
    <col min="1" max="9" width="9.1796875" style="14"/>
    <col min="10" max="11" width="9.1796875" style="14" customWidth="1"/>
    <col min="12" max="17" width="9.1796875" style="14"/>
    <col min="18" max="18" width="9.54296875" style="14" customWidth="1"/>
    <col min="19" max="19" width="3.7265625" style="14" customWidth="1"/>
    <col min="20" max="20" width="21.1796875" style="14" customWidth="1"/>
    <col min="21" max="21" width="12.453125" style="14" customWidth="1"/>
    <col min="22" max="16384" width="9.1796875" style="14"/>
  </cols>
  <sheetData>
    <row r="16" ht="11.25" customHeight="1" x14ac:dyDescent="0.35"/>
    <row r="17" spans="14:21" ht="14.25" customHeight="1" x14ac:dyDescent="0.35">
      <c r="T17" s="15"/>
      <c r="U17" s="19"/>
    </row>
    <row r="18" spans="14:21" ht="18" customHeight="1" x14ac:dyDescent="0.35">
      <c r="T18" s="15"/>
      <c r="U18" s="19"/>
    </row>
    <row r="19" spans="14:21" ht="26.25" customHeight="1" x14ac:dyDescent="0.35">
      <c r="T19" s="15"/>
      <c r="U19" s="19"/>
    </row>
    <row r="20" spans="14:21" ht="21.75" customHeight="1" x14ac:dyDescent="0.35">
      <c r="T20" s="37">
        <f>'Digital - Behavior Value'!F2</f>
        <v>-3738.68</v>
      </c>
      <c r="U20" s="38">
        <f>'Digital - Behavior Value'!G2</f>
        <v>-18.59</v>
      </c>
    </row>
    <row r="21" spans="14:21" ht="26.25" customHeight="1" x14ac:dyDescent="0.35">
      <c r="T21" s="37"/>
      <c r="U21" s="38"/>
    </row>
    <row r="22" spans="14:21" ht="21.5" customHeight="1" x14ac:dyDescent="0.35">
      <c r="T22" s="37">
        <f>'Digital - Behavior Value'!F3</f>
        <v>408.78</v>
      </c>
      <c r="U22" s="38">
        <f>'Digital - Behavior Value'!G3</f>
        <v>2.52</v>
      </c>
    </row>
    <row r="23" spans="14:21" ht="15" customHeight="1" x14ac:dyDescent="0.35">
      <c r="T23" s="37"/>
      <c r="U23" s="38"/>
    </row>
    <row r="24" spans="14:21" ht="15.75" customHeight="1" x14ac:dyDescent="0.35">
      <c r="T24" s="37"/>
      <c r="U24" s="38"/>
    </row>
    <row r="25" spans="14:21" ht="17" customHeight="1" x14ac:dyDescent="0.35">
      <c r="T25" s="37">
        <f>'Digital - Behavior Value'!F4</f>
        <v>-241.9</v>
      </c>
      <c r="U25" s="38">
        <f>'Digital - Behavior Value'!G4</f>
        <v>-1.46</v>
      </c>
    </row>
    <row r="26" spans="14:21" ht="15.75" customHeight="1" x14ac:dyDescent="0.35">
      <c r="T26" s="37"/>
      <c r="U26" s="38"/>
    </row>
    <row r="27" spans="14:21" ht="12.75" customHeight="1" x14ac:dyDescent="0.35">
      <c r="T27" s="37"/>
      <c r="U27" s="38"/>
    </row>
    <row r="28" spans="14:21" ht="19" customHeight="1" x14ac:dyDescent="0.35">
      <c r="T28" s="37">
        <f>'Digital - Behavior Value'!F5</f>
        <v>282.92</v>
      </c>
      <c r="U28" s="38">
        <f>'Digital - Behavior Value'!G5</f>
        <v>1.73</v>
      </c>
    </row>
    <row r="29" spans="14:21" ht="22.5" customHeight="1" x14ac:dyDescent="0.35">
      <c r="T29" s="15"/>
      <c r="U29" s="19"/>
    </row>
    <row r="30" spans="14:21" ht="22.5" customHeight="1" x14ac:dyDescent="0.35">
      <c r="T30" s="15"/>
      <c r="U30" s="19"/>
    </row>
    <row r="31" spans="14:21" ht="22.5" customHeight="1" x14ac:dyDescent="0.35">
      <c r="T31" s="15"/>
      <c r="U31" s="19"/>
    </row>
    <row r="32" spans="14:21" ht="18" customHeight="1" thickBot="1" x14ac:dyDescent="0.4">
      <c r="N32" s="16"/>
      <c r="O32" s="17"/>
      <c r="T32" s="18"/>
      <c r="U32" s="20"/>
    </row>
    <row r="33" ht="15" customHeight="1" thickTop="1"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D0C8-73D9-40F4-9221-2EA5D89B5C12}">
  <dimension ref="A1"/>
  <sheetViews>
    <sheetView showGridLines="0" zoomScaleNormal="100" workbookViewId="0">
      <selection activeCell="AA21" sqref="AA21"/>
    </sheetView>
  </sheetViews>
  <sheetFormatPr defaultColWidth="9.1796875" defaultRowHeight="15" customHeight="1" x14ac:dyDescent="0.35"/>
  <cols>
    <col min="1" max="16384" width="9.1796875" style="8"/>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97D12-2B4E-455A-9349-59910F611758}">
  <dimension ref="A1"/>
  <sheetViews>
    <sheetView zoomScaleNormal="100" workbookViewId="0">
      <selection activeCell="AB29" sqref="AB29"/>
    </sheetView>
  </sheetViews>
  <sheetFormatPr defaultColWidth="9.1796875" defaultRowHeight="14.5" x14ac:dyDescent="0.35"/>
  <cols>
    <col min="1" max="8" width="9.1796875" style="36"/>
    <col min="9" max="9" width="9.1796875" style="36" customWidth="1"/>
    <col min="10" max="10" width="8.26953125" style="36" customWidth="1"/>
    <col min="11" max="16384" width="9.1796875" style="36"/>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5CDE5-5DFB-4BE6-B970-6139EA27CC87}">
  <dimension ref="A1:E23"/>
  <sheetViews>
    <sheetView workbookViewId="0">
      <selection activeCell="B17" sqref="B17"/>
    </sheetView>
  </sheetViews>
  <sheetFormatPr defaultRowHeight="14.5" x14ac:dyDescent="0.35"/>
  <cols>
    <col min="1" max="1" width="22.453125" bestFit="1" customWidth="1"/>
    <col min="2" max="2" width="26.453125" bestFit="1" customWidth="1"/>
    <col min="3" max="3" width="29.7265625" bestFit="1" customWidth="1"/>
    <col min="4" max="4" width="35" bestFit="1" customWidth="1"/>
    <col min="5" max="5" width="42" bestFit="1" customWidth="1"/>
  </cols>
  <sheetData>
    <row r="1" spans="1:5" x14ac:dyDescent="0.35">
      <c r="A1" t="s">
        <v>0</v>
      </c>
      <c r="B1" t="s">
        <v>1</v>
      </c>
      <c r="C1" t="s">
        <v>2</v>
      </c>
      <c r="D1" t="s">
        <v>3</v>
      </c>
      <c r="E1" t="s">
        <v>4</v>
      </c>
    </row>
    <row r="2" spans="1:5" x14ac:dyDescent="0.35">
      <c r="A2">
        <v>47835</v>
      </c>
      <c r="B2">
        <v>15051</v>
      </c>
      <c r="C2">
        <v>31.46</v>
      </c>
      <c r="D2">
        <v>16439.849999999999</v>
      </c>
      <c r="E2">
        <v>56449.65</v>
      </c>
    </row>
    <row r="4" spans="1:5" x14ac:dyDescent="0.35">
      <c r="A4" s="25" t="s">
        <v>60</v>
      </c>
      <c r="B4" s="25" t="s">
        <v>61</v>
      </c>
      <c r="C4" s="25" t="s">
        <v>62</v>
      </c>
      <c r="D4" s="25" t="s">
        <v>63</v>
      </c>
      <c r="E4" s="25" t="s">
        <v>64</v>
      </c>
    </row>
    <row r="5" spans="1:5" x14ac:dyDescent="0.35">
      <c r="A5" s="22">
        <f>INDEX(Retention_Overview_KPIs[],1)</f>
        <v>47835</v>
      </c>
      <c r="B5" s="22">
        <f>INDEX(Retention_Overview_KPIs[],2)</f>
        <v>15051</v>
      </c>
      <c r="C5" s="23" t="str">
        <f>(ROUND(INDEX(Retention_Overview_KPIs[],3),1))&amp;"%"</f>
        <v>31.5%</v>
      </c>
      <c r="D5" s="24">
        <f>ROUND(INDEX(Retention_Overview_KPIs[],4),0)</f>
        <v>16440</v>
      </c>
      <c r="E5" s="24">
        <f>ROUND(INDEX(Retention_Overview_KPIs[],5),0)</f>
        <v>56450</v>
      </c>
    </row>
    <row r="6" spans="1:5" x14ac:dyDescent="0.35">
      <c r="D6" s="5"/>
      <c r="E6" s="5"/>
    </row>
    <row r="7" spans="1:5" x14ac:dyDescent="0.35">
      <c r="D7" s="5"/>
    </row>
    <row r="21" spans="4:4" x14ac:dyDescent="0.35">
      <c r="D21" s="1"/>
    </row>
    <row r="23" spans="4:4" x14ac:dyDescent="0.35">
      <c r="D23" s="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2E3A-8E92-47C3-86ED-C6B85F2BEC9B}">
  <dimension ref="A1:I5"/>
  <sheetViews>
    <sheetView topLeftCell="B1" workbookViewId="0">
      <selection activeCell="F30" sqref="F30"/>
    </sheetView>
  </sheetViews>
  <sheetFormatPr defaultRowHeight="14.5" x14ac:dyDescent="0.35"/>
  <cols>
    <col min="1" max="1" width="23.81640625" bestFit="1" customWidth="1"/>
    <col min="2" max="2" width="22.453125" bestFit="1" customWidth="1"/>
    <col min="3" max="3" width="21.7265625" bestFit="1" customWidth="1"/>
    <col min="4" max="4" width="22.54296875" bestFit="1" customWidth="1"/>
    <col min="5" max="5" width="38" bestFit="1" customWidth="1"/>
    <col min="6" max="6" width="27.26953125" bestFit="1" customWidth="1"/>
    <col min="7" max="7" width="26.453125" bestFit="1" customWidth="1"/>
    <col min="8" max="8" width="29.7265625" bestFit="1" customWidth="1"/>
    <col min="9" max="9" width="35" bestFit="1" customWidth="1"/>
  </cols>
  <sheetData>
    <row r="1" spans="1:9" x14ac:dyDescent="0.35">
      <c r="A1" t="s">
        <v>5</v>
      </c>
      <c r="B1" t="s">
        <v>0</v>
      </c>
      <c r="C1" t="s">
        <v>6</v>
      </c>
      <c r="D1" t="s">
        <v>7</v>
      </c>
      <c r="E1" t="s">
        <v>8</v>
      </c>
      <c r="F1" t="s">
        <v>9</v>
      </c>
      <c r="G1" t="s">
        <v>1</v>
      </c>
      <c r="H1" t="s">
        <v>2</v>
      </c>
      <c r="I1" t="s">
        <v>3</v>
      </c>
    </row>
    <row r="2" spans="1:9" x14ac:dyDescent="0.35">
      <c r="A2" t="s">
        <v>10</v>
      </c>
      <c r="B2">
        <v>7099</v>
      </c>
      <c r="C2">
        <v>14.84</v>
      </c>
      <c r="D2">
        <v>8.58</v>
      </c>
      <c r="E2">
        <v>370116.32</v>
      </c>
      <c r="F2">
        <v>39.200000000000003</v>
      </c>
      <c r="G2">
        <v>2501</v>
      </c>
      <c r="H2">
        <v>35.229999999999997</v>
      </c>
      <c r="I2">
        <v>18966.32</v>
      </c>
    </row>
    <row r="3" spans="1:9" x14ac:dyDescent="0.35">
      <c r="A3" t="s">
        <v>11</v>
      </c>
      <c r="B3">
        <v>4843</v>
      </c>
      <c r="C3">
        <v>10.119999999999999</v>
      </c>
      <c r="D3">
        <v>8.09</v>
      </c>
      <c r="E3">
        <v>341691</v>
      </c>
      <c r="F3">
        <v>174.6</v>
      </c>
      <c r="G3">
        <v>1556</v>
      </c>
      <c r="H3">
        <v>32.130000000000003</v>
      </c>
      <c r="I3">
        <v>17350.63</v>
      </c>
    </row>
    <row r="4" spans="1:9" x14ac:dyDescent="0.35">
      <c r="A4" t="s">
        <v>12</v>
      </c>
      <c r="B4">
        <v>12792</v>
      </c>
      <c r="C4">
        <v>26.74</v>
      </c>
      <c r="D4">
        <v>4.49</v>
      </c>
      <c r="E4">
        <v>199172.4</v>
      </c>
      <c r="F4">
        <v>42.7</v>
      </c>
      <c r="G4">
        <v>3971</v>
      </c>
      <c r="H4">
        <v>31.04</v>
      </c>
      <c r="I4">
        <v>16316.68</v>
      </c>
    </row>
    <row r="5" spans="1:9" x14ac:dyDescent="0.35">
      <c r="A5" t="s">
        <v>13</v>
      </c>
      <c r="B5">
        <v>23101</v>
      </c>
      <c r="C5">
        <v>48.29</v>
      </c>
      <c r="D5">
        <v>3.83</v>
      </c>
      <c r="E5">
        <v>166517.37</v>
      </c>
      <c r="F5">
        <v>268.7</v>
      </c>
      <c r="G5">
        <v>7023</v>
      </c>
      <c r="H5">
        <v>30.4</v>
      </c>
      <c r="I5">
        <v>15540.72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8053F-3FE3-4520-9BE1-B8D66C5960B8}">
  <dimension ref="A1:F765"/>
  <sheetViews>
    <sheetView workbookViewId="0">
      <selection sqref="A1:F765"/>
    </sheetView>
  </sheetViews>
  <sheetFormatPr defaultRowHeight="14.5" x14ac:dyDescent="0.35"/>
  <cols>
    <col min="1" max="1" width="23.81640625" bestFit="1" customWidth="1"/>
    <col min="2" max="2" width="19.26953125" bestFit="1" customWidth="1"/>
    <col min="3" max="3" width="18.54296875" bestFit="1" customWidth="1"/>
    <col min="4" max="4" width="23.453125" bestFit="1" customWidth="1"/>
    <col min="5" max="5" width="18.54296875" bestFit="1" customWidth="1"/>
    <col min="6" max="6" width="18" bestFit="1" customWidth="1"/>
  </cols>
  <sheetData>
    <row r="1" spans="1:6" x14ac:dyDescent="0.35">
      <c r="A1" t="s">
        <v>5</v>
      </c>
      <c r="B1" t="s">
        <v>66</v>
      </c>
      <c r="C1" t="s">
        <v>67</v>
      </c>
      <c r="D1" t="s">
        <v>68</v>
      </c>
      <c r="E1" t="s">
        <v>65</v>
      </c>
      <c r="F1" t="s">
        <v>69</v>
      </c>
    </row>
    <row r="2" spans="1:6" x14ac:dyDescent="0.35">
      <c r="A2" t="s">
        <v>10</v>
      </c>
      <c r="B2">
        <v>1</v>
      </c>
      <c r="C2">
        <v>10</v>
      </c>
      <c r="D2">
        <v>5.5</v>
      </c>
      <c r="E2">
        <v>7</v>
      </c>
      <c r="F2">
        <v>380</v>
      </c>
    </row>
    <row r="3" spans="1:6" x14ac:dyDescent="0.35">
      <c r="A3" t="s">
        <v>10</v>
      </c>
      <c r="B3">
        <v>1</v>
      </c>
      <c r="C3">
        <v>10</v>
      </c>
      <c r="D3">
        <v>5.5</v>
      </c>
      <c r="E3">
        <v>8</v>
      </c>
      <c r="F3">
        <v>264</v>
      </c>
    </row>
    <row r="4" spans="1:6" x14ac:dyDescent="0.35">
      <c r="A4" t="s">
        <v>10</v>
      </c>
      <c r="B4">
        <v>1</v>
      </c>
      <c r="C4">
        <v>10</v>
      </c>
      <c r="D4">
        <v>5.5</v>
      </c>
      <c r="E4">
        <v>9</v>
      </c>
      <c r="F4">
        <v>177</v>
      </c>
    </row>
    <row r="5" spans="1:6" x14ac:dyDescent="0.35">
      <c r="A5" t="s">
        <v>10</v>
      </c>
      <c r="B5">
        <v>1</v>
      </c>
      <c r="C5">
        <v>10</v>
      </c>
      <c r="D5">
        <v>5.5</v>
      </c>
      <c r="E5">
        <v>10</v>
      </c>
      <c r="F5">
        <v>115</v>
      </c>
    </row>
    <row r="6" spans="1:6" x14ac:dyDescent="0.35">
      <c r="A6" t="s">
        <v>10</v>
      </c>
      <c r="B6">
        <v>1</v>
      </c>
      <c r="C6">
        <v>10</v>
      </c>
      <c r="D6">
        <v>5.5</v>
      </c>
      <c r="E6">
        <v>11</v>
      </c>
      <c r="F6">
        <v>58</v>
      </c>
    </row>
    <row r="7" spans="1:6" x14ac:dyDescent="0.35">
      <c r="A7" t="s">
        <v>10</v>
      </c>
      <c r="B7">
        <v>1</v>
      </c>
      <c r="C7">
        <v>10</v>
      </c>
      <c r="D7">
        <v>5.5</v>
      </c>
      <c r="E7">
        <v>12</v>
      </c>
      <c r="F7">
        <v>35</v>
      </c>
    </row>
    <row r="8" spans="1:6" x14ac:dyDescent="0.35">
      <c r="A8" t="s">
        <v>10</v>
      </c>
      <c r="B8">
        <v>1</v>
      </c>
      <c r="C8">
        <v>10</v>
      </c>
      <c r="D8">
        <v>5.5</v>
      </c>
      <c r="E8">
        <v>13</v>
      </c>
      <c r="F8">
        <v>18</v>
      </c>
    </row>
    <row r="9" spans="1:6" x14ac:dyDescent="0.35">
      <c r="A9" t="s">
        <v>10</v>
      </c>
      <c r="B9">
        <v>1</v>
      </c>
      <c r="C9">
        <v>10</v>
      </c>
      <c r="D9">
        <v>5.5</v>
      </c>
      <c r="E9">
        <v>14</v>
      </c>
      <c r="F9">
        <v>17</v>
      </c>
    </row>
    <row r="10" spans="1:6" x14ac:dyDescent="0.35">
      <c r="A10" t="s">
        <v>10</v>
      </c>
      <c r="B10">
        <v>1</v>
      </c>
      <c r="C10">
        <v>10</v>
      </c>
      <c r="D10">
        <v>5.5</v>
      </c>
      <c r="E10">
        <v>15</v>
      </c>
      <c r="F10">
        <v>9</v>
      </c>
    </row>
    <row r="11" spans="1:6" x14ac:dyDescent="0.35">
      <c r="A11" t="s">
        <v>10</v>
      </c>
      <c r="B11">
        <v>1</v>
      </c>
      <c r="C11">
        <v>10</v>
      </c>
      <c r="D11">
        <v>5.5</v>
      </c>
      <c r="E11">
        <v>16</v>
      </c>
      <c r="F11">
        <v>8</v>
      </c>
    </row>
    <row r="12" spans="1:6" x14ac:dyDescent="0.35">
      <c r="A12" t="s">
        <v>10</v>
      </c>
      <c r="B12">
        <v>1</v>
      </c>
      <c r="C12">
        <v>10</v>
      </c>
      <c r="D12">
        <v>5.5</v>
      </c>
      <c r="E12">
        <v>17</v>
      </c>
      <c r="F12">
        <v>6</v>
      </c>
    </row>
    <row r="13" spans="1:6" x14ac:dyDescent="0.35">
      <c r="A13" t="s">
        <v>10</v>
      </c>
      <c r="B13">
        <v>1</v>
      </c>
      <c r="C13">
        <v>10</v>
      </c>
      <c r="D13">
        <v>5.5</v>
      </c>
      <c r="E13">
        <v>18</v>
      </c>
      <c r="F13">
        <v>2</v>
      </c>
    </row>
    <row r="14" spans="1:6" x14ac:dyDescent="0.35">
      <c r="A14" t="s">
        <v>10</v>
      </c>
      <c r="B14">
        <v>1</v>
      </c>
      <c r="C14">
        <v>10</v>
      </c>
      <c r="D14">
        <v>5.5</v>
      </c>
      <c r="E14">
        <v>19</v>
      </c>
      <c r="F14">
        <v>3</v>
      </c>
    </row>
    <row r="15" spans="1:6" x14ac:dyDescent="0.35">
      <c r="A15" t="s">
        <v>10</v>
      </c>
      <c r="B15">
        <v>1</v>
      </c>
      <c r="C15">
        <v>10</v>
      </c>
      <c r="D15">
        <v>5.5</v>
      </c>
      <c r="E15">
        <v>21</v>
      </c>
      <c r="F15">
        <v>1</v>
      </c>
    </row>
    <row r="16" spans="1:6" x14ac:dyDescent="0.35">
      <c r="A16" t="s">
        <v>10</v>
      </c>
      <c r="B16">
        <v>1</v>
      </c>
      <c r="C16">
        <v>10</v>
      </c>
      <c r="D16">
        <v>5.5</v>
      </c>
      <c r="E16">
        <v>22</v>
      </c>
      <c r="F16">
        <v>1</v>
      </c>
    </row>
    <row r="17" spans="1:6" x14ac:dyDescent="0.35">
      <c r="A17" t="s">
        <v>10</v>
      </c>
      <c r="B17">
        <v>11</v>
      </c>
      <c r="C17">
        <v>20</v>
      </c>
      <c r="D17">
        <v>15.5</v>
      </c>
      <c r="E17">
        <v>7</v>
      </c>
      <c r="F17">
        <v>342</v>
      </c>
    </row>
    <row r="18" spans="1:6" x14ac:dyDescent="0.35">
      <c r="A18" t="s">
        <v>10</v>
      </c>
      <c r="B18">
        <v>11</v>
      </c>
      <c r="C18">
        <v>20</v>
      </c>
      <c r="D18">
        <v>15.5</v>
      </c>
      <c r="E18">
        <v>8</v>
      </c>
      <c r="F18">
        <v>274</v>
      </c>
    </row>
    <row r="19" spans="1:6" x14ac:dyDescent="0.35">
      <c r="A19" t="s">
        <v>10</v>
      </c>
      <c r="B19">
        <v>11</v>
      </c>
      <c r="C19">
        <v>20</v>
      </c>
      <c r="D19">
        <v>15.5</v>
      </c>
      <c r="E19">
        <v>9</v>
      </c>
      <c r="F19">
        <v>164</v>
      </c>
    </row>
    <row r="20" spans="1:6" x14ac:dyDescent="0.35">
      <c r="A20" t="s">
        <v>10</v>
      </c>
      <c r="B20">
        <v>11</v>
      </c>
      <c r="C20">
        <v>20</v>
      </c>
      <c r="D20">
        <v>15.5</v>
      </c>
      <c r="E20">
        <v>10</v>
      </c>
      <c r="F20">
        <v>101</v>
      </c>
    </row>
    <row r="21" spans="1:6" x14ac:dyDescent="0.35">
      <c r="A21" t="s">
        <v>10</v>
      </c>
      <c r="B21">
        <v>11</v>
      </c>
      <c r="C21">
        <v>20</v>
      </c>
      <c r="D21">
        <v>15.5</v>
      </c>
      <c r="E21">
        <v>11</v>
      </c>
      <c r="F21">
        <v>61</v>
      </c>
    </row>
    <row r="22" spans="1:6" x14ac:dyDescent="0.35">
      <c r="A22" t="s">
        <v>10</v>
      </c>
      <c r="B22">
        <v>11</v>
      </c>
      <c r="C22">
        <v>20</v>
      </c>
      <c r="D22">
        <v>15.5</v>
      </c>
      <c r="E22">
        <v>12</v>
      </c>
      <c r="F22">
        <v>34</v>
      </c>
    </row>
    <row r="23" spans="1:6" x14ac:dyDescent="0.35">
      <c r="A23" t="s">
        <v>10</v>
      </c>
      <c r="B23">
        <v>11</v>
      </c>
      <c r="C23">
        <v>20</v>
      </c>
      <c r="D23">
        <v>15.5</v>
      </c>
      <c r="E23">
        <v>13</v>
      </c>
      <c r="F23">
        <v>24</v>
      </c>
    </row>
    <row r="24" spans="1:6" x14ac:dyDescent="0.35">
      <c r="A24" t="s">
        <v>10</v>
      </c>
      <c r="B24">
        <v>11</v>
      </c>
      <c r="C24">
        <v>20</v>
      </c>
      <c r="D24">
        <v>15.5</v>
      </c>
      <c r="E24">
        <v>14</v>
      </c>
      <c r="F24">
        <v>10</v>
      </c>
    </row>
    <row r="25" spans="1:6" x14ac:dyDescent="0.35">
      <c r="A25" t="s">
        <v>10</v>
      </c>
      <c r="B25">
        <v>11</v>
      </c>
      <c r="C25">
        <v>20</v>
      </c>
      <c r="D25">
        <v>15.5</v>
      </c>
      <c r="E25">
        <v>15</v>
      </c>
      <c r="F25">
        <v>8</v>
      </c>
    </row>
    <row r="26" spans="1:6" x14ac:dyDescent="0.35">
      <c r="A26" t="s">
        <v>10</v>
      </c>
      <c r="B26">
        <v>11</v>
      </c>
      <c r="C26">
        <v>20</v>
      </c>
      <c r="D26">
        <v>15.5</v>
      </c>
      <c r="E26">
        <v>16</v>
      </c>
      <c r="F26">
        <v>5</v>
      </c>
    </row>
    <row r="27" spans="1:6" x14ac:dyDescent="0.35">
      <c r="A27" t="s">
        <v>10</v>
      </c>
      <c r="B27">
        <v>11</v>
      </c>
      <c r="C27">
        <v>20</v>
      </c>
      <c r="D27">
        <v>15.5</v>
      </c>
      <c r="E27">
        <v>17</v>
      </c>
      <c r="F27">
        <v>3</v>
      </c>
    </row>
    <row r="28" spans="1:6" x14ac:dyDescent="0.35">
      <c r="A28" t="s">
        <v>10</v>
      </c>
      <c r="B28">
        <v>11</v>
      </c>
      <c r="C28">
        <v>20</v>
      </c>
      <c r="D28">
        <v>15.5</v>
      </c>
      <c r="E28">
        <v>18</v>
      </c>
      <c r="F28">
        <v>2</v>
      </c>
    </row>
    <row r="29" spans="1:6" x14ac:dyDescent="0.35">
      <c r="A29" t="s">
        <v>10</v>
      </c>
      <c r="B29">
        <v>11</v>
      </c>
      <c r="C29">
        <v>20</v>
      </c>
      <c r="D29">
        <v>15.5</v>
      </c>
      <c r="E29">
        <v>19</v>
      </c>
      <c r="F29">
        <v>1</v>
      </c>
    </row>
    <row r="30" spans="1:6" x14ac:dyDescent="0.35">
      <c r="A30" t="s">
        <v>10</v>
      </c>
      <c r="B30">
        <v>11</v>
      </c>
      <c r="C30">
        <v>20</v>
      </c>
      <c r="D30">
        <v>15.5</v>
      </c>
      <c r="E30">
        <v>20</v>
      </c>
      <c r="F30">
        <v>1</v>
      </c>
    </row>
    <row r="31" spans="1:6" x14ac:dyDescent="0.35">
      <c r="A31" t="s">
        <v>10</v>
      </c>
      <c r="B31">
        <v>11</v>
      </c>
      <c r="C31">
        <v>20</v>
      </c>
      <c r="D31">
        <v>15.5</v>
      </c>
      <c r="E31">
        <v>22</v>
      </c>
      <c r="F31">
        <v>1</v>
      </c>
    </row>
    <row r="32" spans="1:6" x14ac:dyDescent="0.35">
      <c r="A32" t="s">
        <v>10</v>
      </c>
      <c r="B32">
        <v>11</v>
      </c>
      <c r="C32">
        <v>20</v>
      </c>
      <c r="D32">
        <v>15.5</v>
      </c>
      <c r="E32">
        <v>25</v>
      </c>
      <c r="F32">
        <v>1</v>
      </c>
    </row>
    <row r="33" spans="1:6" x14ac:dyDescent="0.35">
      <c r="A33" t="s">
        <v>10</v>
      </c>
      <c r="B33">
        <v>21</v>
      </c>
      <c r="C33">
        <v>30</v>
      </c>
      <c r="D33">
        <v>25.5</v>
      </c>
      <c r="E33">
        <v>7</v>
      </c>
      <c r="F33">
        <v>324</v>
      </c>
    </row>
    <row r="34" spans="1:6" x14ac:dyDescent="0.35">
      <c r="A34" t="s">
        <v>10</v>
      </c>
      <c r="B34">
        <v>21</v>
      </c>
      <c r="C34">
        <v>30</v>
      </c>
      <c r="D34">
        <v>25.5</v>
      </c>
      <c r="E34">
        <v>8</v>
      </c>
      <c r="F34">
        <v>220</v>
      </c>
    </row>
    <row r="35" spans="1:6" x14ac:dyDescent="0.35">
      <c r="A35" t="s">
        <v>10</v>
      </c>
      <c r="B35">
        <v>21</v>
      </c>
      <c r="C35">
        <v>30</v>
      </c>
      <c r="D35">
        <v>25.5</v>
      </c>
      <c r="E35">
        <v>9</v>
      </c>
      <c r="F35">
        <v>150</v>
      </c>
    </row>
    <row r="36" spans="1:6" x14ac:dyDescent="0.35">
      <c r="A36" t="s">
        <v>10</v>
      </c>
      <c r="B36">
        <v>21</v>
      </c>
      <c r="C36">
        <v>30</v>
      </c>
      <c r="D36">
        <v>25.5</v>
      </c>
      <c r="E36">
        <v>10</v>
      </c>
      <c r="F36">
        <v>88</v>
      </c>
    </row>
    <row r="37" spans="1:6" x14ac:dyDescent="0.35">
      <c r="A37" t="s">
        <v>10</v>
      </c>
      <c r="B37">
        <v>21</v>
      </c>
      <c r="C37">
        <v>30</v>
      </c>
      <c r="D37">
        <v>25.5</v>
      </c>
      <c r="E37">
        <v>11</v>
      </c>
      <c r="F37">
        <v>49</v>
      </c>
    </row>
    <row r="38" spans="1:6" x14ac:dyDescent="0.35">
      <c r="A38" t="s">
        <v>10</v>
      </c>
      <c r="B38">
        <v>21</v>
      </c>
      <c r="C38">
        <v>30</v>
      </c>
      <c r="D38">
        <v>25.5</v>
      </c>
      <c r="E38">
        <v>12</v>
      </c>
      <c r="F38">
        <v>21</v>
      </c>
    </row>
    <row r="39" spans="1:6" x14ac:dyDescent="0.35">
      <c r="A39" t="s">
        <v>10</v>
      </c>
      <c r="B39">
        <v>21</v>
      </c>
      <c r="C39">
        <v>30</v>
      </c>
      <c r="D39">
        <v>25.5</v>
      </c>
      <c r="E39">
        <v>13</v>
      </c>
      <c r="F39">
        <v>22</v>
      </c>
    </row>
    <row r="40" spans="1:6" x14ac:dyDescent="0.35">
      <c r="A40" t="s">
        <v>10</v>
      </c>
      <c r="B40">
        <v>21</v>
      </c>
      <c r="C40">
        <v>30</v>
      </c>
      <c r="D40">
        <v>25.5</v>
      </c>
      <c r="E40">
        <v>14</v>
      </c>
      <c r="F40">
        <v>11</v>
      </c>
    </row>
    <row r="41" spans="1:6" x14ac:dyDescent="0.35">
      <c r="A41" t="s">
        <v>10</v>
      </c>
      <c r="B41">
        <v>21</v>
      </c>
      <c r="C41">
        <v>30</v>
      </c>
      <c r="D41">
        <v>25.5</v>
      </c>
      <c r="E41">
        <v>15</v>
      </c>
      <c r="F41">
        <v>6</v>
      </c>
    </row>
    <row r="42" spans="1:6" x14ac:dyDescent="0.35">
      <c r="A42" t="s">
        <v>10</v>
      </c>
      <c r="B42">
        <v>21</v>
      </c>
      <c r="C42">
        <v>30</v>
      </c>
      <c r="D42">
        <v>25.5</v>
      </c>
      <c r="E42">
        <v>16</v>
      </c>
      <c r="F42">
        <v>7</v>
      </c>
    </row>
    <row r="43" spans="1:6" x14ac:dyDescent="0.35">
      <c r="A43" t="s">
        <v>10</v>
      </c>
      <c r="B43">
        <v>21</v>
      </c>
      <c r="C43">
        <v>30</v>
      </c>
      <c r="D43">
        <v>25.5</v>
      </c>
      <c r="E43">
        <v>17</v>
      </c>
      <c r="F43">
        <v>2</v>
      </c>
    </row>
    <row r="44" spans="1:6" x14ac:dyDescent="0.35">
      <c r="A44" t="s">
        <v>10</v>
      </c>
      <c r="B44">
        <v>21</v>
      </c>
      <c r="C44">
        <v>30</v>
      </c>
      <c r="D44">
        <v>25.5</v>
      </c>
      <c r="E44">
        <v>18</v>
      </c>
      <c r="F44">
        <v>1</v>
      </c>
    </row>
    <row r="45" spans="1:6" x14ac:dyDescent="0.35">
      <c r="A45" t="s">
        <v>10</v>
      </c>
      <c r="B45">
        <v>21</v>
      </c>
      <c r="C45">
        <v>30</v>
      </c>
      <c r="D45">
        <v>25.5</v>
      </c>
      <c r="E45">
        <v>19</v>
      </c>
      <c r="F45">
        <v>3</v>
      </c>
    </row>
    <row r="46" spans="1:6" x14ac:dyDescent="0.35">
      <c r="A46" t="s">
        <v>10</v>
      </c>
      <c r="B46">
        <v>21</v>
      </c>
      <c r="C46">
        <v>30</v>
      </c>
      <c r="D46">
        <v>25.5</v>
      </c>
      <c r="E46">
        <v>24</v>
      </c>
      <c r="F46">
        <v>1</v>
      </c>
    </row>
    <row r="47" spans="1:6" x14ac:dyDescent="0.35">
      <c r="A47" t="s">
        <v>10</v>
      </c>
      <c r="B47">
        <v>31</v>
      </c>
      <c r="C47">
        <v>40</v>
      </c>
      <c r="D47">
        <v>35.5</v>
      </c>
      <c r="E47">
        <v>7</v>
      </c>
      <c r="F47">
        <v>314</v>
      </c>
    </row>
    <row r="48" spans="1:6" x14ac:dyDescent="0.35">
      <c r="A48" t="s">
        <v>10</v>
      </c>
      <c r="B48">
        <v>31</v>
      </c>
      <c r="C48">
        <v>40</v>
      </c>
      <c r="D48">
        <v>35.5</v>
      </c>
      <c r="E48">
        <v>8</v>
      </c>
      <c r="F48">
        <v>227</v>
      </c>
    </row>
    <row r="49" spans="1:6" x14ac:dyDescent="0.35">
      <c r="A49" t="s">
        <v>10</v>
      </c>
      <c r="B49">
        <v>31</v>
      </c>
      <c r="C49">
        <v>40</v>
      </c>
      <c r="D49">
        <v>35.5</v>
      </c>
      <c r="E49">
        <v>9</v>
      </c>
      <c r="F49">
        <v>139</v>
      </c>
    </row>
    <row r="50" spans="1:6" x14ac:dyDescent="0.35">
      <c r="A50" t="s">
        <v>10</v>
      </c>
      <c r="B50">
        <v>31</v>
      </c>
      <c r="C50">
        <v>40</v>
      </c>
      <c r="D50">
        <v>35.5</v>
      </c>
      <c r="E50">
        <v>10</v>
      </c>
      <c r="F50">
        <v>71</v>
      </c>
    </row>
    <row r="51" spans="1:6" x14ac:dyDescent="0.35">
      <c r="A51" t="s">
        <v>10</v>
      </c>
      <c r="B51">
        <v>31</v>
      </c>
      <c r="C51">
        <v>40</v>
      </c>
      <c r="D51">
        <v>35.5</v>
      </c>
      <c r="E51">
        <v>11</v>
      </c>
      <c r="F51">
        <v>56</v>
      </c>
    </row>
    <row r="52" spans="1:6" x14ac:dyDescent="0.35">
      <c r="A52" t="s">
        <v>10</v>
      </c>
      <c r="B52">
        <v>31</v>
      </c>
      <c r="C52">
        <v>40</v>
      </c>
      <c r="D52">
        <v>35.5</v>
      </c>
      <c r="E52">
        <v>12</v>
      </c>
      <c r="F52">
        <v>22</v>
      </c>
    </row>
    <row r="53" spans="1:6" x14ac:dyDescent="0.35">
      <c r="A53" t="s">
        <v>10</v>
      </c>
      <c r="B53">
        <v>31</v>
      </c>
      <c r="C53">
        <v>40</v>
      </c>
      <c r="D53">
        <v>35.5</v>
      </c>
      <c r="E53">
        <v>13</v>
      </c>
      <c r="F53">
        <v>13</v>
      </c>
    </row>
    <row r="54" spans="1:6" x14ac:dyDescent="0.35">
      <c r="A54" t="s">
        <v>10</v>
      </c>
      <c r="B54">
        <v>31</v>
      </c>
      <c r="C54">
        <v>40</v>
      </c>
      <c r="D54">
        <v>35.5</v>
      </c>
      <c r="E54">
        <v>14</v>
      </c>
      <c r="F54">
        <v>9</v>
      </c>
    </row>
    <row r="55" spans="1:6" x14ac:dyDescent="0.35">
      <c r="A55" t="s">
        <v>10</v>
      </c>
      <c r="B55">
        <v>31</v>
      </c>
      <c r="C55">
        <v>40</v>
      </c>
      <c r="D55">
        <v>35.5</v>
      </c>
      <c r="E55">
        <v>15</v>
      </c>
      <c r="F55">
        <v>7</v>
      </c>
    </row>
    <row r="56" spans="1:6" x14ac:dyDescent="0.35">
      <c r="A56" t="s">
        <v>10</v>
      </c>
      <c r="B56">
        <v>31</v>
      </c>
      <c r="C56">
        <v>40</v>
      </c>
      <c r="D56">
        <v>35.5</v>
      </c>
      <c r="E56">
        <v>16</v>
      </c>
      <c r="F56">
        <v>3</v>
      </c>
    </row>
    <row r="57" spans="1:6" x14ac:dyDescent="0.35">
      <c r="A57" t="s">
        <v>10</v>
      </c>
      <c r="B57">
        <v>31</v>
      </c>
      <c r="C57">
        <v>40</v>
      </c>
      <c r="D57">
        <v>35.5</v>
      </c>
      <c r="E57">
        <v>17</v>
      </c>
      <c r="F57">
        <v>1</v>
      </c>
    </row>
    <row r="58" spans="1:6" x14ac:dyDescent="0.35">
      <c r="A58" t="s">
        <v>10</v>
      </c>
      <c r="B58">
        <v>31</v>
      </c>
      <c r="C58">
        <v>40</v>
      </c>
      <c r="D58">
        <v>35.5</v>
      </c>
      <c r="E58">
        <v>18</v>
      </c>
      <c r="F58">
        <v>3</v>
      </c>
    </row>
    <row r="59" spans="1:6" x14ac:dyDescent="0.35">
      <c r="A59" t="s">
        <v>10</v>
      </c>
      <c r="B59">
        <v>31</v>
      </c>
      <c r="C59">
        <v>40</v>
      </c>
      <c r="D59">
        <v>35.5</v>
      </c>
      <c r="E59">
        <v>19</v>
      </c>
      <c r="F59">
        <v>1</v>
      </c>
    </row>
    <row r="60" spans="1:6" x14ac:dyDescent="0.35">
      <c r="A60" t="s">
        <v>10</v>
      </c>
      <c r="B60">
        <v>31</v>
      </c>
      <c r="C60">
        <v>40</v>
      </c>
      <c r="D60">
        <v>35.5</v>
      </c>
      <c r="E60">
        <v>21</v>
      </c>
      <c r="F60">
        <v>1</v>
      </c>
    </row>
    <row r="61" spans="1:6" x14ac:dyDescent="0.35">
      <c r="A61" t="s">
        <v>10</v>
      </c>
      <c r="B61">
        <v>41</v>
      </c>
      <c r="C61">
        <v>50</v>
      </c>
      <c r="D61">
        <v>45.5</v>
      </c>
      <c r="E61">
        <v>7</v>
      </c>
      <c r="F61">
        <v>266</v>
      </c>
    </row>
    <row r="62" spans="1:6" x14ac:dyDescent="0.35">
      <c r="A62" t="s">
        <v>10</v>
      </c>
      <c r="B62">
        <v>41</v>
      </c>
      <c r="C62">
        <v>50</v>
      </c>
      <c r="D62">
        <v>45.5</v>
      </c>
      <c r="E62">
        <v>8</v>
      </c>
      <c r="F62">
        <v>184</v>
      </c>
    </row>
    <row r="63" spans="1:6" x14ac:dyDescent="0.35">
      <c r="A63" t="s">
        <v>10</v>
      </c>
      <c r="B63">
        <v>41</v>
      </c>
      <c r="C63">
        <v>50</v>
      </c>
      <c r="D63">
        <v>45.5</v>
      </c>
      <c r="E63">
        <v>9</v>
      </c>
      <c r="F63">
        <v>123</v>
      </c>
    </row>
    <row r="64" spans="1:6" x14ac:dyDescent="0.35">
      <c r="A64" t="s">
        <v>10</v>
      </c>
      <c r="B64">
        <v>41</v>
      </c>
      <c r="C64">
        <v>50</v>
      </c>
      <c r="D64">
        <v>45.5</v>
      </c>
      <c r="E64">
        <v>10</v>
      </c>
      <c r="F64">
        <v>90</v>
      </c>
    </row>
    <row r="65" spans="1:6" x14ac:dyDescent="0.35">
      <c r="A65" t="s">
        <v>10</v>
      </c>
      <c r="B65">
        <v>41</v>
      </c>
      <c r="C65">
        <v>50</v>
      </c>
      <c r="D65">
        <v>45.5</v>
      </c>
      <c r="E65">
        <v>11</v>
      </c>
      <c r="F65">
        <v>42</v>
      </c>
    </row>
    <row r="66" spans="1:6" x14ac:dyDescent="0.35">
      <c r="A66" t="s">
        <v>10</v>
      </c>
      <c r="B66">
        <v>41</v>
      </c>
      <c r="C66">
        <v>50</v>
      </c>
      <c r="D66">
        <v>45.5</v>
      </c>
      <c r="E66">
        <v>12</v>
      </c>
      <c r="F66">
        <v>22</v>
      </c>
    </row>
    <row r="67" spans="1:6" x14ac:dyDescent="0.35">
      <c r="A67" t="s">
        <v>10</v>
      </c>
      <c r="B67">
        <v>41</v>
      </c>
      <c r="C67">
        <v>50</v>
      </c>
      <c r="D67">
        <v>45.5</v>
      </c>
      <c r="E67">
        <v>13</v>
      </c>
      <c r="F67">
        <v>12</v>
      </c>
    </row>
    <row r="68" spans="1:6" x14ac:dyDescent="0.35">
      <c r="A68" t="s">
        <v>10</v>
      </c>
      <c r="B68">
        <v>41</v>
      </c>
      <c r="C68">
        <v>50</v>
      </c>
      <c r="D68">
        <v>45.5</v>
      </c>
      <c r="E68">
        <v>14</v>
      </c>
      <c r="F68">
        <v>8</v>
      </c>
    </row>
    <row r="69" spans="1:6" x14ac:dyDescent="0.35">
      <c r="A69" t="s">
        <v>10</v>
      </c>
      <c r="B69">
        <v>41</v>
      </c>
      <c r="C69">
        <v>50</v>
      </c>
      <c r="D69">
        <v>45.5</v>
      </c>
      <c r="E69">
        <v>15</v>
      </c>
      <c r="F69">
        <v>1</v>
      </c>
    </row>
    <row r="70" spans="1:6" x14ac:dyDescent="0.35">
      <c r="A70" t="s">
        <v>10</v>
      </c>
      <c r="B70">
        <v>41</v>
      </c>
      <c r="C70">
        <v>50</v>
      </c>
      <c r="D70">
        <v>45.5</v>
      </c>
      <c r="E70">
        <v>16</v>
      </c>
      <c r="F70">
        <v>1</v>
      </c>
    </row>
    <row r="71" spans="1:6" x14ac:dyDescent="0.35">
      <c r="A71" t="s">
        <v>10</v>
      </c>
      <c r="B71">
        <v>41</v>
      </c>
      <c r="C71">
        <v>50</v>
      </c>
      <c r="D71">
        <v>45.5</v>
      </c>
      <c r="E71">
        <v>17</v>
      </c>
      <c r="F71">
        <v>3</v>
      </c>
    </row>
    <row r="72" spans="1:6" x14ac:dyDescent="0.35">
      <c r="A72" t="s">
        <v>10</v>
      </c>
      <c r="B72">
        <v>41</v>
      </c>
      <c r="C72">
        <v>50</v>
      </c>
      <c r="D72">
        <v>45.5</v>
      </c>
      <c r="E72">
        <v>18</v>
      </c>
      <c r="F72">
        <v>1</v>
      </c>
    </row>
    <row r="73" spans="1:6" x14ac:dyDescent="0.35">
      <c r="A73" t="s">
        <v>10</v>
      </c>
      <c r="B73">
        <v>41</v>
      </c>
      <c r="C73">
        <v>50</v>
      </c>
      <c r="D73">
        <v>45.5</v>
      </c>
      <c r="E73">
        <v>20</v>
      </c>
      <c r="F73">
        <v>2</v>
      </c>
    </row>
    <row r="74" spans="1:6" x14ac:dyDescent="0.35">
      <c r="A74" t="s">
        <v>10</v>
      </c>
      <c r="B74">
        <v>41</v>
      </c>
      <c r="C74">
        <v>50</v>
      </c>
      <c r="D74">
        <v>45.5</v>
      </c>
      <c r="E74">
        <v>24</v>
      </c>
      <c r="F74">
        <v>1</v>
      </c>
    </row>
    <row r="75" spans="1:6" x14ac:dyDescent="0.35">
      <c r="A75" t="s">
        <v>10</v>
      </c>
      <c r="B75">
        <v>51</v>
      </c>
      <c r="C75">
        <v>60</v>
      </c>
      <c r="D75">
        <v>55.5</v>
      </c>
      <c r="E75">
        <v>7</v>
      </c>
      <c r="F75">
        <v>264</v>
      </c>
    </row>
    <row r="76" spans="1:6" x14ac:dyDescent="0.35">
      <c r="A76" t="s">
        <v>10</v>
      </c>
      <c r="B76">
        <v>51</v>
      </c>
      <c r="C76">
        <v>60</v>
      </c>
      <c r="D76">
        <v>55.5</v>
      </c>
      <c r="E76">
        <v>8</v>
      </c>
      <c r="F76">
        <v>172</v>
      </c>
    </row>
    <row r="77" spans="1:6" x14ac:dyDescent="0.35">
      <c r="A77" t="s">
        <v>10</v>
      </c>
      <c r="B77">
        <v>51</v>
      </c>
      <c r="C77">
        <v>60</v>
      </c>
      <c r="D77">
        <v>55.5</v>
      </c>
      <c r="E77">
        <v>9</v>
      </c>
      <c r="F77">
        <v>113</v>
      </c>
    </row>
    <row r="78" spans="1:6" x14ac:dyDescent="0.35">
      <c r="A78" t="s">
        <v>10</v>
      </c>
      <c r="B78">
        <v>51</v>
      </c>
      <c r="C78">
        <v>60</v>
      </c>
      <c r="D78">
        <v>55.5</v>
      </c>
      <c r="E78">
        <v>10</v>
      </c>
      <c r="F78">
        <v>75</v>
      </c>
    </row>
    <row r="79" spans="1:6" x14ac:dyDescent="0.35">
      <c r="A79" t="s">
        <v>10</v>
      </c>
      <c r="B79">
        <v>51</v>
      </c>
      <c r="C79">
        <v>60</v>
      </c>
      <c r="D79">
        <v>55.5</v>
      </c>
      <c r="E79">
        <v>11</v>
      </c>
      <c r="F79">
        <v>39</v>
      </c>
    </row>
    <row r="80" spans="1:6" x14ac:dyDescent="0.35">
      <c r="A80" t="s">
        <v>10</v>
      </c>
      <c r="B80">
        <v>51</v>
      </c>
      <c r="C80">
        <v>60</v>
      </c>
      <c r="D80">
        <v>55.5</v>
      </c>
      <c r="E80">
        <v>12</v>
      </c>
      <c r="F80">
        <v>21</v>
      </c>
    </row>
    <row r="81" spans="1:6" x14ac:dyDescent="0.35">
      <c r="A81" t="s">
        <v>10</v>
      </c>
      <c r="B81">
        <v>51</v>
      </c>
      <c r="C81">
        <v>60</v>
      </c>
      <c r="D81">
        <v>55.5</v>
      </c>
      <c r="E81">
        <v>13</v>
      </c>
      <c r="F81">
        <v>14</v>
      </c>
    </row>
    <row r="82" spans="1:6" x14ac:dyDescent="0.35">
      <c r="A82" t="s">
        <v>10</v>
      </c>
      <c r="B82">
        <v>51</v>
      </c>
      <c r="C82">
        <v>60</v>
      </c>
      <c r="D82">
        <v>55.5</v>
      </c>
      <c r="E82">
        <v>14</v>
      </c>
      <c r="F82">
        <v>6</v>
      </c>
    </row>
    <row r="83" spans="1:6" x14ac:dyDescent="0.35">
      <c r="A83" t="s">
        <v>10</v>
      </c>
      <c r="B83">
        <v>51</v>
      </c>
      <c r="C83">
        <v>60</v>
      </c>
      <c r="D83">
        <v>55.5</v>
      </c>
      <c r="E83">
        <v>15</v>
      </c>
      <c r="F83">
        <v>8</v>
      </c>
    </row>
    <row r="84" spans="1:6" x14ac:dyDescent="0.35">
      <c r="A84" t="s">
        <v>10</v>
      </c>
      <c r="B84">
        <v>51</v>
      </c>
      <c r="C84">
        <v>60</v>
      </c>
      <c r="D84">
        <v>55.5</v>
      </c>
      <c r="E84">
        <v>16</v>
      </c>
      <c r="F84">
        <v>5</v>
      </c>
    </row>
    <row r="85" spans="1:6" x14ac:dyDescent="0.35">
      <c r="A85" t="s">
        <v>10</v>
      </c>
      <c r="B85">
        <v>51</v>
      </c>
      <c r="C85">
        <v>60</v>
      </c>
      <c r="D85">
        <v>55.5</v>
      </c>
      <c r="E85">
        <v>18</v>
      </c>
      <c r="F85">
        <v>1</v>
      </c>
    </row>
    <row r="86" spans="1:6" x14ac:dyDescent="0.35">
      <c r="A86" t="s">
        <v>10</v>
      </c>
      <c r="B86">
        <v>61</v>
      </c>
      <c r="C86">
        <v>70</v>
      </c>
      <c r="D86">
        <v>65.5</v>
      </c>
      <c r="E86">
        <v>7</v>
      </c>
      <c r="F86">
        <v>234</v>
      </c>
    </row>
    <row r="87" spans="1:6" x14ac:dyDescent="0.35">
      <c r="A87" t="s">
        <v>10</v>
      </c>
      <c r="B87">
        <v>61</v>
      </c>
      <c r="C87">
        <v>70</v>
      </c>
      <c r="D87">
        <v>65.5</v>
      </c>
      <c r="E87">
        <v>8</v>
      </c>
      <c r="F87">
        <v>181</v>
      </c>
    </row>
    <row r="88" spans="1:6" x14ac:dyDescent="0.35">
      <c r="A88" t="s">
        <v>10</v>
      </c>
      <c r="B88">
        <v>61</v>
      </c>
      <c r="C88">
        <v>70</v>
      </c>
      <c r="D88">
        <v>65.5</v>
      </c>
      <c r="E88">
        <v>9</v>
      </c>
      <c r="F88">
        <v>111</v>
      </c>
    </row>
    <row r="89" spans="1:6" x14ac:dyDescent="0.35">
      <c r="A89" t="s">
        <v>10</v>
      </c>
      <c r="B89">
        <v>61</v>
      </c>
      <c r="C89">
        <v>70</v>
      </c>
      <c r="D89">
        <v>65.5</v>
      </c>
      <c r="E89">
        <v>10</v>
      </c>
      <c r="F89">
        <v>57</v>
      </c>
    </row>
    <row r="90" spans="1:6" x14ac:dyDescent="0.35">
      <c r="A90" t="s">
        <v>10</v>
      </c>
      <c r="B90">
        <v>61</v>
      </c>
      <c r="C90">
        <v>70</v>
      </c>
      <c r="D90">
        <v>65.5</v>
      </c>
      <c r="E90">
        <v>11</v>
      </c>
      <c r="F90">
        <v>31</v>
      </c>
    </row>
    <row r="91" spans="1:6" x14ac:dyDescent="0.35">
      <c r="A91" t="s">
        <v>10</v>
      </c>
      <c r="B91">
        <v>61</v>
      </c>
      <c r="C91">
        <v>70</v>
      </c>
      <c r="D91">
        <v>65.5</v>
      </c>
      <c r="E91">
        <v>12</v>
      </c>
      <c r="F91">
        <v>19</v>
      </c>
    </row>
    <row r="92" spans="1:6" x14ac:dyDescent="0.35">
      <c r="A92" t="s">
        <v>10</v>
      </c>
      <c r="B92">
        <v>61</v>
      </c>
      <c r="C92">
        <v>70</v>
      </c>
      <c r="D92">
        <v>65.5</v>
      </c>
      <c r="E92">
        <v>13</v>
      </c>
      <c r="F92">
        <v>14</v>
      </c>
    </row>
    <row r="93" spans="1:6" x14ac:dyDescent="0.35">
      <c r="A93" t="s">
        <v>10</v>
      </c>
      <c r="B93">
        <v>61</v>
      </c>
      <c r="C93">
        <v>70</v>
      </c>
      <c r="D93">
        <v>65.5</v>
      </c>
      <c r="E93">
        <v>14</v>
      </c>
      <c r="F93">
        <v>7</v>
      </c>
    </row>
    <row r="94" spans="1:6" x14ac:dyDescent="0.35">
      <c r="A94" t="s">
        <v>10</v>
      </c>
      <c r="B94">
        <v>61</v>
      </c>
      <c r="C94">
        <v>70</v>
      </c>
      <c r="D94">
        <v>65.5</v>
      </c>
      <c r="E94">
        <v>15</v>
      </c>
      <c r="F94">
        <v>2</v>
      </c>
    </row>
    <row r="95" spans="1:6" x14ac:dyDescent="0.35">
      <c r="A95" t="s">
        <v>10</v>
      </c>
      <c r="B95">
        <v>61</v>
      </c>
      <c r="C95">
        <v>70</v>
      </c>
      <c r="D95">
        <v>65.5</v>
      </c>
      <c r="E95">
        <v>16</v>
      </c>
      <c r="F95">
        <v>3</v>
      </c>
    </row>
    <row r="96" spans="1:6" x14ac:dyDescent="0.35">
      <c r="A96" t="s">
        <v>10</v>
      </c>
      <c r="B96">
        <v>61</v>
      </c>
      <c r="C96">
        <v>70</v>
      </c>
      <c r="D96">
        <v>65.5</v>
      </c>
      <c r="E96">
        <v>17</v>
      </c>
      <c r="F96">
        <v>1</v>
      </c>
    </row>
    <row r="97" spans="1:6" x14ac:dyDescent="0.35">
      <c r="A97" t="s">
        <v>10</v>
      </c>
      <c r="B97">
        <v>61</v>
      </c>
      <c r="C97">
        <v>70</v>
      </c>
      <c r="D97">
        <v>65.5</v>
      </c>
      <c r="E97">
        <v>18</v>
      </c>
      <c r="F97">
        <v>1</v>
      </c>
    </row>
    <row r="98" spans="1:6" x14ac:dyDescent="0.35">
      <c r="A98" t="s">
        <v>10</v>
      </c>
      <c r="B98">
        <v>61</v>
      </c>
      <c r="C98">
        <v>70</v>
      </c>
      <c r="D98">
        <v>65.5</v>
      </c>
      <c r="E98">
        <v>20</v>
      </c>
      <c r="F98">
        <v>1</v>
      </c>
    </row>
    <row r="99" spans="1:6" x14ac:dyDescent="0.35">
      <c r="A99" t="s">
        <v>10</v>
      </c>
      <c r="B99">
        <v>71</v>
      </c>
      <c r="C99">
        <v>80</v>
      </c>
      <c r="D99">
        <v>75.5</v>
      </c>
      <c r="E99">
        <v>7</v>
      </c>
      <c r="F99">
        <v>213</v>
      </c>
    </row>
    <row r="100" spans="1:6" x14ac:dyDescent="0.35">
      <c r="A100" t="s">
        <v>10</v>
      </c>
      <c r="B100">
        <v>71</v>
      </c>
      <c r="C100">
        <v>80</v>
      </c>
      <c r="D100">
        <v>75.5</v>
      </c>
      <c r="E100">
        <v>8</v>
      </c>
      <c r="F100">
        <v>148</v>
      </c>
    </row>
    <row r="101" spans="1:6" x14ac:dyDescent="0.35">
      <c r="A101" t="s">
        <v>10</v>
      </c>
      <c r="B101">
        <v>71</v>
      </c>
      <c r="C101">
        <v>80</v>
      </c>
      <c r="D101">
        <v>75.5</v>
      </c>
      <c r="E101">
        <v>9</v>
      </c>
      <c r="F101">
        <v>88</v>
      </c>
    </row>
    <row r="102" spans="1:6" x14ac:dyDescent="0.35">
      <c r="A102" t="s">
        <v>10</v>
      </c>
      <c r="B102">
        <v>71</v>
      </c>
      <c r="C102">
        <v>80</v>
      </c>
      <c r="D102">
        <v>75.5</v>
      </c>
      <c r="E102">
        <v>10</v>
      </c>
      <c r="F102">
        <v>42</v>
      </c>
    </row>
    <row r="103" spans="1:6" x14ac:dyDescent="0.35">
      <c r="A103" t="s">
        <v>10</v>
      </c>
      <c r="B103">
        <v>71</v>
      </c>
      <c r="C103">
        <v>80</v>
      </c>
      <c r="D103">
        <v>75.5</v>
      </c>
      <c r="E103">
        <v>11</v>
      </c>
      <c r="F103">
        <v>21</v>
      </c>
    </row>
    <row r="104" spans="1:6" x14ac:dyDescent="0.35">
      <c r="A104" t="s">
        <v>10</v>
      </c>
      <c r="B104">
        <v>71</v>
      </c>
      <c r="C104">
        <v>80</v>
      </c>
      <c r="D104">
        <v>75.5</v>
      </c>
      <c r="E104">
        <v>12</v>
      </c>
      <c r="F104">
        <v>9</v>
      </c>
    </row>
    <row r="105" spans="1:6" x14ac:dyDescent="0.35">
      <c r="A105" t="s">
        <v>10</v>
      </c>
      <c r="B105">
        <v>71</v>
      </c>
      <c r="C105">
        <v>80</v>
      </c>
      <c r="D105">
        <v>75.5</v>
      </c>
      <c r="E105">
        <v>13</v>
      </c>
      <c r="F105">
        <v>7</v>
      </c>
    </row>
    <row r="106" spans="1:6" x14ac:dyDescent="0.35">
      <c r="A106" t="s">
        <v>10</v>
      </c>
      <c r="B106">
        <v>71</v>
      </c>
      <c r="C106">
        <v>80</v>
      </c>
      <c r="D106">
        <v>75.5</v>
      </c>
      <c r="E106">
        <v>14</v>
      </c>
      <c r="F106">
        <v>4</v>
      </c>
    </row>
    <row r="107" spans="1:6" x14ac:dyDescent="0.35">
      <c r="A107" t="s">
        <v>10</v>
      </c>
      <c r="B107">
        <v>71</v>
      </c>
      <c r="C107">
        <v>80</v>
      </c>
      <c r="D107">
        <v>75.5</v>
      </c>
      <c r="E107">
        <v>15</v>
      </c>
      <c r="F107">
        <v>4</v>
      </c>
    </row>
    <row r="108" spans="1:6" x14ac:dyDescent="0.35">
      <c r="A108" t="s">
        <v>10</v>
      </c>
      <c r="B108">
        <v>71</v>
      </c>
      <c r="C108">
        <v>80</v>
      </c>
      <c r="D108">
        <v>75.5</v>
      </c>
      <c r="E108">
        <v>16</v>
      </c>
      <c r="F108">
        <v>5</v>
      </c>
    </row>
    <row r="109" spans="1:6" x14ac:dyDescent="0.35">
      <c r="A109" t="s">
        <v>10</v>
      </c>
      <c r="B109">
        <v>81</v>
      </c>
      <c r="C109">
        <v>90</v>
      </c>
      <c r="D109">
        <v>85.5</v>
      </c>
      <c r="E109">
        <v>7</v>
      </c>
      <c r="F109">
        <v>220</v>
      </c>
    </row>
    <row r="110" spans="1:6" x14ac:dyDescent="0.35">
      <c r="A110" t="s">
        <v>10</v>
      </c>
      <c r="B110">
        <v>81</v>
      </c>
      <c r="C110">
        <v>90</v>
      </c>
      <c r="D110">
        <v>85.5</v>
      </c>
      <c r="E110">
        <v>8</v>
      </c>
      <c r="F110">
        <v>134</v>
      </c>
    </row>
    <row r="111" spans="1:6" x14ac:dyDescent="0.35">
      <c r="A111" t="s">
        <v>10</v>
      </c>
      <c r="B111">
        <v>81</v>
      </c>
      <c r="C111">
        <v>90</v>
      </c>
      <c r="D111">
        <v>85.5</v>
      </c>
      <c r="E111">
        <v>9</v>
      </c>
      <c r="F111">
        <v>67</v>
      </c>
    </row>
    <row r="112" spans="1:6" x14ac:dyDescent="0.35">
      <c r="A112" t="s">
        <v>10</v>
      </c>
      <c r="B112">
        <v>81</v>
      </c>
      <c r="C112">
        <v>90</v>
      </c>
      <c r="D112">
        <v>85.5</v>
      </c>
      <c r="E112">
        <v>10</v>
      </c>
      <c r="F112">
        <v>46</v>
      </c>
    </row>
    <row r="113" spans="1:6" x14ac:dyDescent="0.35">
      <c r="A113" t="s">
        <v>10</v>
      </c>
      <c r="B113">
        <v>81</v>
      </c>
      <c r="C113">
        <v>90</v>
      </c>
      <c r="D113">
        <v>85.5</v>
      </c>
      <c r="E113">
        <v>11</v>
      </c>
      <c r="F113">
        <v>33</v>
      </c>
    </row>
    <row r="114" spans="1:6" x14ac:dyDescent="0.35">
      <c r="A114" t="s">
        <v>10</v>
      </c>
      <c r="B114">
        <v>81</v>
      </c>
      <c r="C114">
        <v>90</v>
      </c>
      <c r="D114">
        <v>85.5</v>
      </c>
      <c r="E114">
        <v>12</v>
      </c>
      <c r="F114">
        <v>10</v>
      </c>
    </row>
    <row r="115" spans="1:6" x14ac:dyDescent="0.35">
      <c r="A115" t="s">
        <v>10</v>
      </c>
      <c r="B115">
        <v>81</v>
      </c>
      <c r="C115">
        <v>90</v>
      </c>
      <c r="D115">
        <v>85.5</v>
      </c>
      <c r="E115">
        <v>13</v>
      </c>
      <c r="F115">
        <v>10</v>
      </c>
    </row>
    <row r="116" spans="1:6" x14ac:dyDescent="0.35">
      <c r="A116" t="s">
        <v>10</v>
      </c>
      <c r="B116">
        <v>81</v>
      </c>
      <c r="C116">
        <v>90</v>
      </c>
      <c r="D116">
        <v>85.5</v>
      </c>
      <c r="E116">
        <v>14</v>
      </c>
      <c r="F116">
        <v>2</v>
      </c>
    </row>
    <row r="117" spans="1:6" x14ac:dyDescent="0.35">
      <c r="A117" t="s">
        <v>10</v>
      </c>
      <c r="B117">
        <v>81</v>
      </c>
      <c r="C117">
        <v>90</v>
      </c>
      <c r="D117">
        <v>85.5</v>
      </c>
      <c r="E117">
        <v>16</v>
      </c>
      <c r="F117">
        <v>2</v>
      </c>
    </row>
    <row r="118" spans="1:6" x14ac:dyDescent="0.35">
      <c r="A118" t="s">
        <v>11</v>
      </c>
      <c r="B118">
        <v>91</v>
      </c>
      <c r="C118">
        <v>100</v>
      </c>
      <c r="D118">
        <v>95.5</v>
      </c>
      <c r="E118">
        <v>7</v>
      </c>
      <c r="F118">
        <v>197</v>
      </c>
    </row>
    <row r="119" spans="1:6" x14ac:dyDescent="0.35">
      <c r="A119" t="s">
        <v>11</v>
      </c>
      <c r="B119">
        <v>91</v>
      </c>
      <c r="C119">
        <v>100</v>
      </c>
      <c r="D119">
        <v>95.5</v>
      </c>
      <c r="E119">
        <v>8</v>
      </c>
      <c r="F119">
        <v>119</v>
      </c>
    </row>
    <row r="120" spans="1:6" x14ac:dyDescent="0.35">
      <c r="A120" t="s">
        <v>11</v>
      </c>
      <c r="B120">
        <v>91</v>
      </c>
      <c r="C120">
        <v>100</v>
      </c>
      <c r="D120">
        <v>95.5</v>
      </c>
      <c r="E120">
        <v>9</v>
      </c>
      <c r="F120">
        <v>71</v>
      </c>
    </row>
    <row r="121" spans="1:6" x14ac:dyDescent="0.35">
      <c r="A121" t="s">
        <v>11</v>
      </c>
      <c r="B121">
        <v>91</v>
      </c>
      <c r="C121">
        <v>100</v>
      </c>
      <c r="D121">
        <v>95.5</v>
      </c>
      <c r="E121">
        <v>10</v>
      </c>
      <c r="F121">
        <v>39</v>
      </c>
    </row>
    <row r="122" spans="1:6" x14ac:dyDescent="0.35">
      <c r="A122" t="s">
        <v>11</v>
      </c>
      <c r="B122">
        <v>91</v>
      </c>
      <c r="C122">
        <v>100</v>
      </c>
      <c r="D122">
        <v>95.5</v>
      </c>
      <c r="E122">
        <v>11</v>
      </c>
      <c r="F122">
        <v>16</v>
      </c>
    </row>
    <row r="123" spans="1:6" x14ac:dyDescent="0.35">
      <c r="A123" t="s">
        <v>11</v>
      </c>
      <c r="B123">
        <v>91</v>
      </c>
      <c r="C123">
        <v>100</v>
      </c>
      <c r="D123">
        <v>95.5</v>
      </c>
      <c r="E123">
        <v>12</v>
      </c>
      <c r="F123">
        <v>17</v>
      </c>
    </row>
    <row r="124" spans="1:6" x14ac:dyDescent="0.35">
      <c r="A124" t="s">
        <v>11</v>
      </c>
      <c r="B124">
        <v>91</v>
      </c>
      <c r="C124">
        <v>100</v>
      </c>
      <c r="D124">
        <v>95.5</v>
      </c>
      <c r="E124">
        <v>13</v>
      </c>
      <c r="F124">
        <v>7</v>
      </c>
    </row>
    <row r="125" spans="1:6" x14ac:dyDescent="0.35">
      <c r="A125" t="s">
        <v>11</v>
      </c>
      <c r="B125">
        <v>91</v>
      </c>
      <c r="C125">
        <v>100</v>
      </c>
      <c r="D125">
        <v>95.5</v>
      </c>
      <c r="E125">
        <v>14</v>
      </c>
      <c r="F125">
        <v>3</v>
      </c>
    </row>
    <row r="126" spans="1:6" x14ac:dyDescent="0.35">
      <c r="A126" t="s">
        <v>11</v>
      </c>
      <c r="B126">
        <v>91</v>
      </c>
      <c r="C126">
        <v>100</v>
      </c>
      <c r="D126">
        <v>95.5</v>
      </c>
      <c r="E126">
        <v>15</v>
      </c>
      <c r="F126">
        <v>2</v>
      </c>
    </row>
    <row r="127" spans="1:6" x14ac:dyDescent="0.35">
      <c r="A127" t="s">
        <v>11</v>
      </c>
      <c r="B127">
        <v>91</v>
      </c>
      <c r="C127">
        <v>100</v>
      </c>
      <c r="D127">
        <v>95.5</v>
      </c>
      <c r="E127">
        <v>16</v>
      </c>
      <c r="F127">
        <v>2</v>
      </c>
    </row>
    <row r="128" spans="1:6" x14ac:dyDescent="0.35">
      <c r="A128" t="s">
        <v>11</v>
      </c>
      <c r="B128">
        <v>91</v>
      </c>
      <c r="C128">
        <v>100</v>
      </c>
      <c r="D128">
        <v>95.5</v>
      </c>
      <c r="E128">
        <v>17</v>
      </c>
      <c r="F128">
        <v>1</v>
      </c>
    </row>
    <row r="129" spans="1:6" x14ac:dyDescent="0.35">
      <c r="A129" t="s">
        <v>11</v>
      </c>
      <c r="B129">
        <v>101</v>
      </c>
      <c r="C129">
        <v>110</v>
      </c>
      <c r="D129">
        <v>105.5</v>
      </c>
      <c r="E129">
        <v>7</v>
      </c>
      <c r="F129">
        <v>177</v>
      </c>
    </row>
    <row r="130" spans="1:6" x14ac:dyDescent="0.35">
      <c r="A130" t="s">
        <v>11</v>
      </c>
      <c r="B130">
        <v>101</v>
      </c>
      <c r="C130">
        <v>110</v>
      </c>
      <c r="D130">
        <v>105.5</v>
      </c>
      <c r="E130">
        <v>8</v>
      </c>
      <c r="F130">
        <v>111</v>
      </c>
    </row>
    <row r="131" spans="1:6" x14ac:dyDescent="0.35">
      <c r="A131" t="s">
        <v>11</v>
      </c>
      <c r="B131">
        <v>101</v>
      </c>
      <c r="C131">
        <v>110</v>
      </c>
      <c r="D131">
        <v>105.5</v>
      </c>
      <c r="E131">
        <v>9</v>
      </c>
      <c r="F131">
        <v>57</v>
      </c>
    </row>
    <row r="132" spans="1:6" x14ac:dyDescent="0.35">
      <c r="A132" t="s">
        <v>11</v>
      </c>
      <c r="B132">
        <v>101</v>
      </c>
      <c r="C132">
        <v>110</v>
      </c>
      <c r="D132">
        <v>105.5</v>
      </c>
      <c r="E132">
        <v>10</v>
      </c>
      <c r="F132">
        <v>40</v>
      </c>
    </row>
    <row r="133" spans="1:6" x14ac:dyDescent="0.35">
      <c r="A133" t="s">
        <v>11</v>
      </c>
      <c r="B133">
        <v>101</v>
      </c>
      <c r="C133">
        <v>110</v>
      </c>
      <c r="D133">
        <v>105.5</v>
      </c>
      <c r="E133">
        <v>11</v>
      </c>
      <c r="F133">
        <v>16</v>
      </c>
    </row>
    <row r="134" spans="1:6" x14ac:dyDescent="0.35">
      <c r="A134" t="s">
        <v>11</v>
      </c>
      <c r="B134">
        <v>101</v>
      </c>
      <c r="C134">
        <v>110</v>
      </c>
      <c r="D134">
        <v>105.5</v>
      </c>
      <c r="E134">
        <v>12</v>
      </c>
      <c r="F134">
        <v>10</v>
      </c>
    </row>
    <row r="135" spans="1:6" x14ac:dyDescent="0.35">
      <c r="A135" t="s">
        <v>11</v>
      </c>
      <c r="B135">
        <v>101</v>
      </c>
      <c r="C135">
        <v>110</v>
      </c>
      <c r="D135">
        <v>105.5</v>
      </c>
      <c r="E135">
        <v>13</v>
      </c>
      <c r="F135">
        <v>9</v>
      </c>
    </row>
    <row r="136" spans="1:6" x14ac:dyDescent="0.35">
      <c r="A136" t="s">
        <v>11</v>
      </c>
      <c r="B136">
        <v>101</v>
      </c>
      <c r="C136">
        <v>110</v>
      </c>
      <c r="D136">
        <v>105.5</v>
      </c>
      <c r="E136">
        <v>14</v>
      </c>
      <c r="F136">
        <v>2</v>
      </c>
    </row>
    <row r="137" spans="1:6" x14ac:dyDescent="0.35">
      <c r="A137" t="s">
        <v>11</v>
      </c>
      <c r="B137">
        <v>101</v>
      </c>
      <c r="C137">
        <v>110</v>
      </c>
      <c r="D137">
        <v>105.5</v>
      </c>
      <c r="E137">
        <v>15</v>
      </c>
      <c r="F137">
        <v>2</v>
      </c>
    </row>
    <row r="138" spans="1:6" x14ac:dyDescent="0.35">
      <c r="A138" t="s">
        <v>11</v>
      </c>
      <c r="B138">
        <v>101</v>
      </c>
      <c r="C138">
        <v>110</v>
      </c>
      <c r="D138">
        <v>105.5</v>
      </c>
      <c r="E138">
        <v>16</v>
      </c>
      <c r="F138">
        <v>2</v>
      </c>
    </row>
    <row r="139" spans="1:6" x14ac:dyDescent="0.35">
      <c r="A139" t="s">
        <v>11</v>
      </c>
      <c r="B139">
        <v>101</v>
      </c>
      <c r="C139">
        <v>110</v>
      </c>
      <c r="D139">
        <v>105.5</v>
      </c>
      <c r="E139">
        <v>18</v>
      </c>
      <c r="F139">
        <v>1</v>
      </c>
    </row>
    <row r="140" spans="1:6" x14ac:dyDescent="0.35">
      <c r="A140" t="s">
        <v>11</v>
      </c>
      <c r="B140">
        <v>111</v>
      </c>
      <c r="C140">
        <v>120</v>
      </c>
      <c r="D140">
        <v>115.5</v>
      </c>
      <c r="E140">
        <v>7</v>
      </c>
      <c r="F140">
        <v>149</v>
      </c>
    </row>
    <row r="141" spans="1:6" x14ac:dyDescent="0.35">
      <c r="A141" t="s">
        <v>11</v>
      </c>
      <c r="B141">
        <v>111</v>
      </c>
      <c r="C141">
        <v>120</v>
      </c>
      <c r="D141">
        <v>115.5</v>
      </c>
      <c r="E141">
        <v>8</v>
      </c>
      <c r="F141">
        <v>120</v>
      </c>
    </row>
    <row r="142" spans="1:6" x14ac:dyDescent="0.35">
      <c r="A142" t="s">
        <v>11</v>
      </c>
      <c r="B142">
        <v>111</v>
      </c>
      <c r="C142">
        <v>120</v>
      </c>
      <c r="D142">
        <v>115.5</v>
      </c>
      <c r="E142">
        <v>9</v>
      </c>
      <c r="F142">
        <v>67</v>
      </c>
    </row>
    <row r="143" spans="1:6" x14ac:dyDescent="0.35">
      <c r="A143" t="s">
        <v>11</v>
      </c>
      <c r="B143">
        <v>111</v>
      </c>
      <c r="C143">
        <v>120</v>
      </c>
      <c r="D143">
        <v>115.5</v>
      </c>
      <c r="E143">
        <v>10</v>
      </c>
      <c r="F143">
        <v>25</v>
      </c>
    </row>
    <row r="144" spans="1:6" x14ac:dyDescent="0.35">
      <c r="A144" t="s">
        <v>11</v>
      </c>
      <c r="B144">
        <v>111</v>
      </c>
      <c r="C144">
        <v>120</v>
      </c>
      <c r="D144">
        <v>115.5</v>
      </c>
      <c r="E144">
        <v>11</v>
      </c>
      <c r="F144">
        <v>24</v>
      </c>
    </row>
    <row r="145" spans="1:6" x14ac:dyDescent="0.35">
      <c r="A145" t="s">
        <v>11</v>
      </c>
      <c r="B145">
        <v>111</v>
      </c>
      <c r="C145">
        <v>120</v>
      </c>
      <c r="D145">
        <v>115.5</v>
      </c>
      <c r="E145">
        <v>12</v>
      </c>
      <c r="F145">
        <v>4</v>
      </c>
    </row>
    <row r="146" spans="1:6" x14ac:dyDescent="0.35">
      <c r="A146" t="s">
        <v>11</v>
      </c>
      <c r="B146">
        <v>111</v>
      </c>
      <c r="C146">
        <v>120</v>
      </c>
      <c r="D146">
        <v>115.5</v>
      </c>
      <c r="E146">
        <v>13</v>
      </c>
      <c r="F146">
        <v>3</v>
      </c>
    </row>
    <row r="147" spans="1:6" x14ac:dyDescent="0.35">
      <c r="A147" t="s">
        <v>11</v>
      </c>
      <c r="B147">
        <v>111</v>
      </c>
      <c r="C147">
        <v>120</v>
      </c>
      <c r="D147">
        <v>115.5</v>
      </c>
      <c r="E147">
        <v>15</v>
      </c>
      <c r="F147">
        <v>2</v>
      </c>
    </row>
    <row r="148" spans="1:6" x14ac:dyDescent="0.35">
      <c r="A148" t="s">
        <v>11</v>
      </c>
      <c r="B148">
        <v>111</v>
      </c>
      <c r="C148">
        <v>120</v>
      </c>
      <c r="D148">
        <v>115.5</v>
      </c>
      <c r="E148">
        <v>16</v>
      </c>
      <c r="F148">
        <v>2</v>
      </c>
    </row>
    <row r="149" spans="1:6" x14ac:dyDescent="0.35">
      <c r="A149" t="s">
        <v>11</v>
      </c>
      <c r="B149">
        <v>111</v>
      </c>
      <c r="C149">
        <v>120</v>
      </c>
      <c r="D149">
        <v>115.5</v>
      </c>
      <c r="E149">
        <v>17</v>
      </c>
      <c r="F149">
        <v>1</v>
      </c>
    </row>
    <row r="150" spans="1:6" x14ac:dyDescent="0.35">
      <c r="A150" t="s">
        <v>11</v>
      </c>
      <c r="B150">
        <v>111</v>
      </c>
      <c r="C150">
        <v>120</v>
      </c>
      <c r="D150">
        <v>115.5</v>
      </c>
      <c r="E150">
        <v>18</v>
      </c>
      <c r="F150">
        <v>1</v>
      </c>
    </row>
    <row r="151" spans="1:6" x14ac:dyDescent="0.35">
      <c r="A151" t="s">
        <v>11</v>
      </c>
      <c r="B151">
        <v>121</v>
      </c>
      <c r="C151">
        <v>130</v>
      </c>
      <c r="D151">
        <v>125.5</v>
      </c>
      <c r="E151">
        <v>7</v>
      </c>
      <c r="F151">
        <v>167</v>
      </c>
    </row>
    <row r="152" spans="1:6" x14ac:dyDescent="0.35">
      <c r="A152" t="s">
        <v>11</v>
      </c>
      <c r="B152">
        <v>121</v>
      </c>
      <c r="C152">
        <v>130</v>
      </c>
      <c r="D152">
        <v>125.5</v>
      </c>
      <c r="E152">
        <v>8</v>
      </c>
      <c r="F152">
        <v>106</v>
      </c>
    </row>
    <row r="153" spans="1:6" x14ac:dyDescent="0.35">
      <c r="A153" t="s">
        <v>11</v>
      </c>
      <c r="B153">
        <v>121</v>
      </c>
      <c r="C153">
        <v>130</v>
      </c>
      <c r="D153">
        <v>125.5</v>
      </c>
      <c r="E153">
        <v>9</v>
      </c>
      <c r="F153">
        <v>54</v>
      </c>
    </row>
    <row r="154" spans="1:6" x14ac:dyDescent="0.35">
      <c r="A154" t="s">
        <v>11</v>
      </c>
      <c r="B154">
        <v>121</v>
      </c>
      <c r="C154">
        <v>130</v>
      </c>
      <c r="D154">
        <v>125.5</v>
      </c>
      <c r="E154">
        <v>10</v>
      </c>
      <c r="F154">
        <v>28</v>
      </c>
    </row>
    <row r="155" spans="1:6" x14ac:dyDescent="0.35">
      <c r="A155" t="s">
        <v>11</v>
      </c>
      <c r="B155">
        <v>121</v>
      </c>
      <c r="C155">
        <v>130</v>
      </c>
      <c r="D155">
        <v>125.5</v>
      </c>
      <c r="E155">
        <v>11</v>
      </c>
      <c r="F155">
        <v>15</v>
      </c>
    </row>
    <row r="156" spans="1:6" x14ac:dyDescent="0.35">
      <c r="A156" t="s">
        <v>11</v>
      </c>
      <c r="B156">
        <v>121</v>
      </c>
      <c r="C156">
        <v>130</v>
      </c>
      <c r="D156">
        <v>125.5</v>
      </c>
      <c r="E156">
        <v>12</v>
      </c>
      <c r="F156">
        <v>7</v>
      </c>
    </row>
    <row r="157" spans="1:6" x14ac:dyDescent="0.35">
      <c r="A157" t="s">
        <v>11</v>
      </c>
      <c r="B157">
        <v>121</v>
      </c>
      <c r="C157">
        <v>130</v>
      </c>
      <c r="D157">
        <v>125.5</v>
      </c>
      <c r="E157">
        <v>13</v>
      </c>
      <c r="F157">
        <v>5</v>
      </c>
    </row>
    <row r="158" spans="1:6" x14ac:dyDescent="0.35">
      <c r="A158" t="s">
        <v>11</v>
      </c>
      <c r="B158">
        <v>121</v>
      </c>
      <c r="C158">
        <v>130</v>
      </c>
      <c r="D158">
        <v>125.5</v>
      </c>
      <c r="E158">
        <v>14</v>
      </c>
      <c r="F158">
        <v>3</v>
      </c>
    </row>
    <row r="159" spans="1:6" x14ac:dyDescent="0.35">
      <c r="A159" t="s">
        <v>11</v>
      </c>
      <c r="B159">
        <v>121</v>
      </c>
      <c r="C159">
        <v>130</v>
      </c>
      <c r="D159">
        <v>125.5</v>
      </c>
      <c r="E159">
        <v>15</v>
      </c>
      <c r="F159">
        <v>2</v>
      </c>
    </row>
    <row r="160" spans="1:6" x14ac:dyDescent="0.35">
      <c r="A160" t="s">
        <v>11</v>
      </c>
      <c r="B160">
        <v>121</v>
      </c>
      <c r="C160">
        <v>130</v>
      </c>
      <c r="D160">
        <v>125.5</v>
      </c>
      <c r="E160">
        <v>17</v>
      </c>
      <c r="F160">
        <v>1</v>
      </c>
    </row>
    <row r="161" spans="1:6" x14ac:dyDescent="0.35">
      <c r="A161" t="s">
        <v>11</v>
      </c>
      <c r="B161">
        <v>131</v>
      </c>
      <c r="C161">
        <v>140</v>
      </c>
      <c r="D161">
        <v>135.5</v>
      </c>
      <c r="E161">
        <v>7</v>
      </c>
      <c r="F161">
        <v>142</v>
      </c>
    </row>
    <row r="162" spans="1:6" x14ac:dyDescent="0.35">
      <c r="A162" t="s">
        <v>11</v>
      </c>
      <c r="B162">
        <v>131</v>
      </c>
      <c r="C162">
        <v>140</v>
      </c>
      <c r="D162">
        <v>135.5</v>
      </c>
      <c r="E162">
        <v>8</v>
      </c>
      <c r="F162">
        <v>58</v>
      </c>
    </row>
    <row r="163" spans="1:6" x14ac:dyDescent="0.35">
      <c r="A163" t="s">
        <v>11</v>
      </c>
      <c r="B163">
        <v>131</v>
      </c>
      <c r="C163">
        <v>140</v>
      </c>
      <c r="D163">
        <v>135.5</v>
      </c>
      <c r="E163">
        <v>9</v>
      </c>
      <c r="F163">
        <v>48</v>
      </c>
    </row>
    <row r="164" spans="1:6" x14ac:dyDescent="0.35">
      <c r="A164" t="s">
        <v>11</v>
      </c>
      <c r="B164">
        <v>131</v>
      </c>
      <c r="C164">
        <v>140</v>
      </c>
      <c r="D164">
        <v>135.5</v>
      </c>
      <c r="E164">
        <v>10</v>
      </c>
      <c r="F164">
        <v>22</v>
      </c>
    </row>
    <row r="165" spans="1:6" x14ac:dyDescent="0.35">
      <c r="A165" t="s">
        <v>11</v>
      </c>
      <c r="B165">
        <v>131</v>
      </c>
      <c r="C165">
        <v>140</v>
      </c>
      <c r="D165">
        <v>135.5</v>
      </c>
      <c r="E165">
        <v>11</v>
      </c>
      <c r="F165">
        <v>8</v>
      </c>
    </row>
    <row r="166" spans="1:6" x14ac:dyDescent="0.35">
      <c r="A166" t="s">
        <v>11</v>
      </c>
      <c r="B166">
        <v>131</v>
      </c>
      <c r="C166">
        <v>140</v>
      </c>
      <c r="D166">
        <v>135.5</v>
      </c>
      <c r="E166">
        <v>12</v>
      </c>
      <c r="F166">
        <v>7</v>
      </c>
    </row>
    <row r="167" spans="1:6" x14ac:dyDescent="0.35">
      <c r="A167" t="s">
        <v>11</v>
      </c>
      <c r="B167">
        <v>131</v>
      </c>
      <c r="C167">
        <v>140</v>
      </c>
      <c r="D167">
        <v>135.5</v>
      </c>
      <c r="E167">
        <v>13</v>
      </c>
      <c r="F167">
        <v>3</v>
      </c>
    </row>
    <row r="168" spans="1:6" x14ac:dyDescent="0.35">
      <c r="A168" t="s">
        <v>11</v>
      </c>
      <c r="B168">
        <v>131</v>
      </c>
      <c r="C168">
        <v>140</v>
      </c>
      <c r="D168">
        <v>135.5</v>
      </c>
      <c r="E168">
        <v>14</v>
      </c>
      <c r="F168">
        <v>3</v>
      </c>
    </row>
    <row r="169" spans="1:6" x14ac:dyDescent="0.35">
      <c r="A169" t="s">
        <v>11</v>
      </c>
      <c r="B169">
        <v>141</v>
      </c>
      <c r="C169">
        <v>150</v>
      </c>
      <c r="D169">
        <v>145.5</v>
      </c>
      <c r="E169">
        <v>7</v>
      </c>
      <c r="F169">
        <v>140</v>
      </c>
    </row>
    <row r="170" spans="1:6" x14ac:dyDescent="0.35">
      <c r="A170" t="s">
        <v>11</v>
      </c>
      <c r="B170">
        <v>141</v>
      </c>
      <c r="C170">
        <v>150</v>
      </c>
      <c r="D170">
        <v>145.5</v>
      </c>
      <c r="E170">
        <v>8</v>
      </c>
      <c r="F170">
        <v>83</v>
      </c>
    </row>
    <row r="171" spans="1:6" x14ac:dyDescent="0.35">
      <c r="A171" t="s">
        <v>11</v>
      </c>
      <c r="B171">
        <v>141</v>
      </c>
      <c r="C171">
        <v>150</v>
      </c>
      <c r="D171">
        <v>145.5</v>
      </c>
      <c r="E171">
        <v>9</v>
      </c>
      <c r="F171">
        <v>41</v>
      </c>
    </row>
    <row r="172" spans="1:6" x14ac:dyDescent="0.35">
      <c r="A172" t="s">
        <v>11</v>
      </c>
      <c r="B172">
        <v>141</v>
      </c>
      <c r="C172">
        <v>150</v>
      </c>
      <c r="D172">
        <v>145.5</v>
      </c>
      <c r="E172">
        <v>10</v>
      </c>
      <c r="F172">
        <v>23</v>
      </c>
    </row>
    <row r="173" spans="1:6" x14ac:dyDescent="0.35">
      <c r="A173" t="s">
        <v>11</v>
      </c>
      <c r="B173">
        <v>141</v>
      </c>
      <c r="C173">
        <v>150</v>
      </c>
      <c r="D173">
        <v>145.5</v>
      </c>
      <c r="E173">
        <v>11</v>
      </c>
      <c r="F173">
        <v>8</v>
      </c>
    </row>
    <row r="174" spans="1:6" x14ac:dyDescent="0.35">
      <c r="A174" t="s">
        <v>11</v>
      </c>
      <c r="B174">
        <v>141</v>
      </c>
      <c r="C174">
        <v>150</v>
      </c>
      <c r="D174">
        <v>145.5</v>
      </c>
      <c r="E174">
        <v>12</v>
      </c>
      <c r="F174">
        <v>9</v>
      </c>
    </row>
    <row r="175" spans="1:6" x14ac:dyDescent="0.35">
      <c r="A175" t="s">
        <v>11</v>
      </c>
      <c r="B175">
        <v>141</v>
      </c>
      <c r="C175">
        <v>150</v>
      </c>
      <c r="D175">
        <v>145.5</v>
      </c>
      <c r="E175">
        <v>13</v>
      </c>
      <c r="F175">
        <v>5</v>
      </c>
    </row>
    <row r="176" spans="1:6" x14ac:dyDescent="0.35">
      <c r="A176" t="s">
        <v>11</v>
      </c>
      <c r="B176">
        <v>141</v>
      </c>
      <c r="C176">
        <v>150</v>
      </c>
      <c r="D176">
        <v>145.5</v>
      </c>
      <c r="E176">
        <v>15</v>
      </c>
      <c r="F176">
        <v>1</v>
      </c>
    </row>
    <row r="177" spans="1:6" x14ac:dyDescent="0.35">
      <c r="A177" t="s">
        <v>11</v>
      </c>
      <c r="B177">
        <v>141</v>
      </c>
      <c r="C177">
        <v>150</v>
      </c>
      <c r="D177">
        <v>145.5</v>
      </c>
      <c r="E177">
        <v>16</v>
      </c>
      <c r="F177">
        <v>2</v>
      </c>
    </row>
    <row r="178" spans="1:6" x14ac:dyDescent="0.35">
      <c r="A178" t="s">
        <v>11</v>
      </c>
      <c r="B178">
        <v>151</v>
      </c>
      <c r="C178">
        <v>160</v>
      </c>
      <c r="D178">
        <v>155.5</v>
      </c>
      <c r="E178">
        <v>7</v>
      </c>
      <c r="F178">
        <v>140</v>
      </c>
    </row>
    <row r="179" spans="1:6" x14ac:dyDescent="0.35">
      <c r="A179" t="s">
        <v>11</v>
      </c>
      <c r="B179">
        <v>151</v>
      </c>
      <c r="C179">
        <v>160</v>
      </c>
      <c r="D179">
        <v>155.5</v>
      </c>
      <c r="E179">
        <v>8</v>
      </c>
      <c r="F179">
        <v>79</v>
      </c>
    </row>
    <row r="180" spans="1:6" x14ac:dyDescent="0.35">
      <c r="A180" t="s">
        <v>11</v>
      </c>
      <c r="B180">
        <v>151</v>
      </c>
      <c r="C180">
        <v>160</v>
      </c>
      <c r="D180">
        <v>155.5</v>
      </c>
      <c r="E180">
        <v>9</v>
      </c>
      <c r="F180">
        <v>47</v>
      </c>
    </row>
    <row r="181" spans="1:6" x14ac:dyDescent="0.35">
      <c r="A181" t="s">
        <v>11</v>
      </c>
      <c r="B181">
        <v>151</v>
      </c>
      <c r="C181">
        <v>160</v>
      </c>
      <c r="D181">
        <v>155.5</v>
      </c>
      <c r="E181">
        <v>10</v>
      </c>
      <c r="F181">
        <v>19</v>
      </c>
    </row>
    <row r="182" spans="1:6" x14ac:dyDescent="0.35">
      <c r="A182" t="s">
        <v>11</v>
      </c>
      <c r="B182">
        <v>151</v>
      </c>
      <c r="C182">
        <v>160</v>
      </c>
      <c r="D182">
        <v>155.5</v>
      </c>
      <c r="E182">
        <v>11</v>
      </c>
      <c r="F182">
        <v>4</v>
      </c>
    </row>
    <row r="183" spans="1:6" x14ac:dyDescent="0.35">
      <c r="A183" t="s">
        <v>11</v>
      </c>
      <c r="B183">
        <v>151</v>
      </c>
      <c r="C183">
        <v>160</v>
      </c>
      <c r="D183">
        <v>155.5</v>
      </c>
      <c r="E183">
        <v>12</v>
      </c>
      <c r="F183">
        <v>12</v>
      </c>
    </row>
    <row r="184" spans="1:6" x14ac:dyDescent="0.35">
      <c r="A184" t="s">
        <v>11</v>
      </c>
      <c r="B184">
        <v>151</v>
      </c>
      <c r="C184">
        <v>160</v>
      </c>
      <c r="D184">
        <v>155.5</v>
      </c>
      <c r="E184">
        <v>15</v>
      </c>
      <c r="F184">
        <v>2</v>
      </c>
    </row>
    <row r="185" spans="1:6" x14ac:dyDescent="0.35">
      <c r="A185" t="s">
        <v>11</v>
      </c>
      <c r="B185">
        <v>151</v>
      </c>
      <c r="C185">
        <v>160</v>
      </c>
      <c r="D185">
        <v>155.5</v>
      </c>
      <c r="E185">
        <v>17</v>
      </c>
      <c r="F185">
        <v>1</v>
      </c>
    </row>
    <row r="186" spans="1:6" x14ac:dyDescent="0.35">
      <c r="A186" t="s">
        <v>11</v>
      </c>
      <c r="B186">
        <v>161</v>
      </c>
      <c r="C186">
        <v>170</v>
      </c>
      <c r="D186">
        <v>165.5</v>
      </c>
      <c r="E186">
        <v>7</v>
      </c>
      <c r="F186">
        <v>127</v>
      </c>
    </row>
    <row r="187" spans="1:6" x14ac:dyDescent="0.35">
      <c r="A187" t="s">
        <v>11</v>
      </c>
      <c r="B187">
        <v>161</v>
      </c>
      <c r="C187">
        <v>170</v>
      </c>
      <c r="D187">
        <v>165.5</v>
      </c>
      <c r="E187">
        <v>8</v>
      </c>
      <c r="F187">
        <v>78</v>
      </c>
    </row>
    <row r="188" spans="1:6" x14ac:dyDescent="0.35">
      <c r="A188" t="s">
        <v>11</v>
      </c>
      <c r="B188">
        <v>161</v>
      </c>
      <c r="C188">
        <v>170</v>
      </c>
      <c r="D188">
        <v>165.5</v>
      </c>
      <c r="E188">
        <v>9</v>
      </c>
      <c r="F188">
        <v>26</v>
      </c>
    </row>
    <row r="189" spans="1:6" x14ac:dyDescent="0.35">
      <c r="A189" t="s">
        <v>11</v>
      </c>
      <c r="B189">
        <v>161</v>
      </c>
      <c r="C189">
        <v>170</v>
      </c>
      <c r="D189">
        <v>165.5</v>
      </c>
      <c r="E189">
        <v>10</v>
      </c>
      <c r="F189">
        <v>10</v>
      </c>
    </row>
    <row r="190" spans="1:6" x14ac:dyDescent="0.35">
      <c r="A190" t="s">
        <v>11</v>
      </c>
      <c r="B190">
        <v>161</v>
      </c>
      <c r="C190">
        <v>170</v>
      </c>
      <c r="D190">
        <v>165.5</v>
      </c>
      <c r="E190">
        <v>11</v>
      </c>
      <c r="F190">
        <v>6</v>
      </c>
    </row>
    <row r="191" spans="1:6" x14ac:dyDescent="0.35">
      <c r="A191" t="s">
        <v>11</v>
      </c>
      <c r="B191">
        <v>161</v>
      </c>
      <c r="C191">
        <v>170</v>
      </c>
      <c r="D191">
        <v>165.5</v>
      </c>
      <c r="E191">
        <v>12</v>
      </c>
      <c r="F191">
        <v>4</v>
      </c>
    </row>
    <row r="192" spans="1:6" x14ac:dyDescent="0.35">
      <c r="A192" t="s">
        <v>11</v>
      </c>
      <c r="B192">
        <v>161</v>
      </c>
      <c r="C192">
        <v>170</v>
      </c>
      <c r="D192">
        <v>165.5</v>
      </c>
      <c r="E192">
        <v>13</v>
      </c>
      <c r="F192">
        <v>1</v>
      </c>
    </row>
    <row r="193" spans="1:6" x14ac:dyDescent="0.35">
      <c r="A193" t="s">
        <v>11</v>
      </c>
      <c r="B193">
        <v>161</v>
      </c>
      <c r="C193">
        <v>170</v>
      </c>
      <c r="D193">
        <v>165.5</v>
      </c>
      <c r="E193">
        <v>14</v>
      </c>
      <c r="F193">
        <v>1</v>
      </c>
    </row>
    <row r="194" spans="1:6" x14ac:dyDescent="0.35">
      <c r="A194" t="s">
        <v>11</v>
      </c>
      <c r="B194">
        <v>161</v>
      </c>
      <c r="C194">
        <v>170</v>
      </c>
      <c r="D194">
        <v>165.5</v>
      </c>
      <c r="E194">
        <v>15</v>
      </c>
      <c r="F194">
        <v>1</v>
      </c>
    </row>
    <row r="195" spans="1:6" x14ac:dyDescent="0.35">
      <c r="A195" t="s">
        <v>11</v>
      </c>
      <c r="B195">
        <v>161</v>
      </c>
      <c r="C195">
        <v>170</v>
      </c>
      <c r="D195">
        <v>165.5</v>
      </c>
      <c r="E195">
        <v>16</v>
      </c>
      <c r="F195">
        <v>1</v>
      </c>
    </row>
    <row r="196" spans="1:6" x14ac:dyDescent="0.35">
      <c r="A196" t="s">
        <v>11</v>
      </c>
      <c r="B196">
        <v>171</v>
      </c>
      <c r="C196">
        <v>180</v>
      </c>
      <c r="D196">
        <v>175.5</v>
      </c>
      <c r="E196">
        <v>7</v>
      </c>
      <c r="F196">
        <v>101</v>
      </c>
    </row>
    <row r="197" spans="1:6" x14ac:dyDescent="0.35">
      <c r="A197" t="s">
        <v>11</v>
      </c>
      <c r="B197">
        <v>171</v>
      </c>
      <c r="C197">
        <v>180</v>
      </c>
      <c r="D197">
        <v>175.5</v>
      </c>
      <c r="E197">
        <v>8</v>
      </c>
      <c r="F197">
        <v>68</v>
      </c>
    </row>
    <row r="198" spans="1:6" x14ac:dyDescent="0.35">
      <c r="A198" t="s">
        <v>11</v>
      </c>
      <c r="B198">
        <v>171</v>
      </c>
      <c r="C198">
        <v>180</v>
      </c>
      <c r="D198">
        <v>175.5</v>
      </c>
      <c r="E198">
        <v>9</v>
      </c>
      <c r="F198">
        <v>31</v>
      </c>
    </row>
    <row r="199" spans="1:6" x14ac:dyDescent="0.35">
      <c r="A199" t="s">
        <v>11</v>
      </c>
      <c r="B199">
        <v>171</v>
      </c>
      <c r="C199">
        <v>180</v>
      </c>
      <c r="D199">
        <v>175.5</v>
      </c>
      <c r="E199">
        <v>10</v>
      </c>
      <c r="F199">
        <v>28</v>
      </c>
    </row>
    <row r="200" spans="1:6" x14ac:dyDescent="0.35">
      <c r="A200" t="s">
        <v>11</v>
      </c>
      <c r="B200">
        <v>171</v>
      </c>
      <c r="C200">
        <v>180</v>
      </c>
      <c r="D200">
        <v>175.5</v>
      </c>
      <c r="E200">
        <v>11</v>
      </c>
      <c r="F200">
        <v>6</v>
      </c>
    </row>
    <row r="201" spans="1:6" x14ac:dyDescent="0.35">
      <c r="A201" t="s">
        <v>11</v>
      </c>
      <c r="B201">
        <v>171</v>
      </c>
      <c r="C201">
        <v>180</v>
      </c>
      <c r="D201">
        <v>175.5</v>
      </c>
      <c r="E201">
        <v>12</v>
      </c>
      <c r="F201">
        <v>2</v>
      </c>
    </row>
    <row r="202" spans="1:6" x14ac:dyDescent="0.35">
      <c r="A202" t="s">
        <v>11</v>
      </c>
      <c r="B202">
        <v>171</v>
      </c>
      <c r="C202">
        <v>180</v>
      </c>
      <c r="D202">
        <v>175.5</v>
      </c>
      <c r="E202">
        <v>13</v>
      </c>
      <c r="F202">
        <v>3</v>
      </c>
    </row>
    <row r="203" spans="1:6" x14ac:dyDescent="0.35">
      <c r="A203" t="s">
        <v>11</v>
      </c>
      <c r="B203">
        <v>171</v>
      </c>
      <c r="C203">
        <v>180</v>
      </c>
      <c r="D203">
        <v>175.5</v>
      </c>
      <c r="E203">
        <v>16</v>
      </c>
      <c r="F203">
        <v>1</v>
      </c>
    </row>
    <row r="204" spans="1:6" x14ac:dyDescent="0.35">
      <c r="A204" t="s">
        <v>11</v>
      </c>
      <c r="B204">
        <v>181</v>
      </c>
      <c r="C204">
        <v>190</v>
      </c>
      <c r="D204">
        <v>185.5</v>
      </c>
      <c r="E204">
        <v>7</v>
      </c>
      <c r="F204">
        <v>101</v>
      </c>
    </row>
    <row r="205" spans="1:6" x14ac:dyDescent="0.35">
      <c r="A205" t="s">
        <v>11</v>
      </c>
      <c r="B205">
        <v>181</v>
      </c>
      <c r="C205">
        <v>190</v>
      </c>
      <c r="D205">
        <v>185.5</v>
      </c>
      <c r="E205">
        <v>8</v>
      </c>
      <c r="F205">
        <v>64</v>
      </c>
    </row>
    <row r="206" spans="1:6" x14ac:dyDescent="0.35">
      <c r="A206" t="s">
        <v>11</v>
      </c>
      <c r="B206">
        <v>181</v>
      </c>
      <c r="C206">
        <v>190</v>
      </c>
      <c r="D206">
        <v>185.5</v>
      </c>
      <c r="E206">
        <v>9</v>
      </c>
      <c r="F206">
        <v>35</v>
      </c>
    </row>
    <row r="207" spans="1:6" x14ac:dyDescent="0.35">
      <c r="A207" t="s">
        <v>11</v>
      </c>
      <c r="B207">
        <v>181</v>
      </c>
      <c r="C207">
        <v>190</v>
      </c>
      <c r="D207">
        <v>185.5</v>
      </c>
      <c r="E207">
        <v>10</v>
      </c>
      <c r="F207">
        <v>16</v>
      </c>
    </row>
    <row r="208" spans="1:6" x14ac:dyDescent="0.35">
      <c r="A208" t="s">
        <v>11</v>
      </c>
      <c r="B208">
        <v>181</v>
      </c>
      <c r="C208">
        <v>190</v>
      </c>
      <c r="D208">
        <v>185.5</v>
      </c>
      <c r="E208">
        <v>11</v>
      </c>
      <c r="F208">
        <v>1</v>
      </c>
    </row>
    <row r="209" spans="1:6" x14ac:dyDescent="0.35">
      <c r="A209" t="s">
        <v>11</v>
      </c>
      <c r="B209">
        <v>181</v>
      </c>
      <c r="C209">
        <v>190</v>
      </c>
      <c r="D209">
        <v>185.5</v>
      </c>
      <c r="E209">
        <v>12</v>
      </c>
      <c r="F209">
        <v>5</v>
      </c>
    </row>
    <row r="210" spans="1:6" x14ac:dyDescent="0.35">
      <c r="A210" t="s">
        <v>11</v>
      </c>
      <c r="B210">
        <v>181</v>
      </c>
      <c r="C210">
        <v>190</v>
      </c>
      <c r="D210">
        <v>185.5</v>
      </c>
      <c r="E210">
        <v>13</v>
      </c>
      <c r="F210">
        <v>1</v>
      </c>
    </row>
    <row r="211" spans="1:6" x14ac:dyDescent="0.35">
      <c r="A211" t="s">
        <v>11</v>
      </c>
      <c r="B211">
        <v>191</v>
      </c>
      <c r="C211">
        <v>200</v>
      </c>
      <c r="D211">
        <v>195.5</v>
      </c>
      <c r="E211">
        <v>7</v>
      </c>
      <c r="F211">
        <v>75</v>
      </c>
    </row>
    <row r="212" spans="1:6" x14ac:dyDescent="0.35">
      <c r="A212" t="s">
        <v>11</v>
      </c>
      <c r="B212">
        <v>191</v>
      </c>
      <c r="C212">
        <v>200</v>
      </c>
      <c r="D212">
        <v>195.5</v>
      </c>
      <c r="E212">
        <v>8</v>
      </c>
      <c r="F212">
        <v>50</v>
      </c>
    </row>
    <row r="213" spans="1:6" x14ac:dyDescent="0.35">
      <c r="A213" t="s">
        <v>11</v>
      </c>
      <c r="B213">
        <v>191</v>
      </c>
      <c r="C213">
        <v>200</v>
      </c>
      <c r="D213">
        <v>195.5</v>
      </c>
      <c r="E213">
        <v>9</v>
      </c>
      <c r="F213">
        <v>24</v>
      </c>
    </row>
    <row r="214" spans="1:6" x14ac:dyDescent="0.35">
      <c r="A214" t="s">
        <v>11</v>
      </c>
      <c r="B214">
        <v>191</v>
      </c>
      <c r="C214">
        <v>200</v>
      </c>
      <c r="D214">
        <v>195.5</v>
      </c>
      <c r="E214">
        <v>10</v>
      </c>
      <c r="F214">
        <v>13</v>
      </c>
    </row>
    <row r="215" spans="1:6" x14ac:dyDescent="0.35">
      <c r="A215" t="s">
        <v>11</v>
      </c>
      <c r="B215">
        <v>191</v>
      </c>
      <c r="C215">
        <v>200</v>
      </c>
      <c r="D215">
        <v>195.5</v>
      </c>
      <c r="E215">
        <v>11</v>
      </c>
      <c r="F215">
        <v>9</v>
      </c>
    </row>
    <row r="216" spans="1:6" x14ac:dyDescent="0.35">
      <c r="A216" t="s">
        <v>11</v>
      </c>
      <c r="B216">
        <v>191</v>
      </c>
      <c r="C216">
        <v>200</v>
      </c>
      <c r="D216">
        <v>195.5</v>
      </c>
      <c r="E216">
        <v>12</v>
      </c>
      <c r="F216">
        <v>3</v>
      </c>
    </row>
    <row r="217" spans="1:6" x14ac:dyDescent="0.35">
      <c r="A217" t="s">
        <v>11</v>
      </c>
      <c r="B217">
        <v>201</v>
      </c>
      <c r="C217">
        <v>210</v>
      </c>
      <c r="D217">
        <v>205.5</v>
      </c>
      <c r="E217">
        <v>7</v>
      </c>
      <c r="F217">
        <v>72</v>
      </c>
    </row>
    <row r="218" spans="1:6" x14ac:dyDescent="0.35">
      <c r="A218" t="s">
        <v>11</v>
      </c>
      <c r="B218">
        <v>201</v>
      </c>
      <c r="C218">
        <v>210</v>
      </c>
      <c r="D218">
        <v>205.5</v>
      </c>
      <c r="E218">
        <v>8</v>
      </c>
      <c r="F218">
        <v>58</v>
      </c>
    </row>
    <row r="219" spans="1:6" x14ac:dyDescent="0.35">
      <c r="A219" t="s">
        <v>11</v>
      </c>
      <c r="B219">
        <v>201</v>
      </c>
      <c r="C219">
        <v>210</v>
      </c>
      <c r="D219">
        <v>205.5</v>
      </c>
      <c r="E219">
        <v>9</v>
      </c>
      <c r="F219">
        <v>23</v>
      </c>
    </row>
    <row r="220" spans="1:6" x14ac:dyDescent="0.35">
      <c r="A220" t="s">
        <v>11</v>
      </c>
      <c r="B220">
        <v>201</v>
      </c>
      <c r="C220">
        <v>210</v>
      </c>
      <c r="D220">
        <v>205.5</v>
      </c>
      <c r="E220">
        <v>10</v>
      </c>
      <c r="F220">
        <v>6</v>
      </c>
    </row>
    <row r="221" spans="1:6" x14ac:dyDescent="0.35">
      <c r="A221" t="s">
        <v>11</v>
      </c>
      <c r="B221">
        <v>201</v>
      </c>
      <c r="C221">
        <v>210</v>
      </c>
      <c r="D221">
        <v>205.5</v>
      </c>
      <c r="E221">
        <v>11</v>
      </c>
      <c r="F221">
        <v>3</v>
      </c>
    </row>
    <row r="222" spans="1:6" x14ac:dyDescent="0.35">
      <c r="A222" t="s">
        <v>11</v>
      </c>
      <c r="B222">
        <v>201</v>
      </c>
      <c r="C222">
        <v>210</v>
      </c>
      <c r="D222">
        <v>205.5</v>
      </c>
      <c r="E222">
        <v>12</v>
      </c>
      <c r="F222">
        <v>2</v>
      </c>
    </row>
    <row r="223" spans="1:6" x14ac:dyDescent="0.35">
      <c r="A223" t="s">
        <v>11</v>
      </c>
      <c r="B223">
        <v>201</v>
      </c>
      <c r="C223">
        <v>210</v>
      </c>
      <c r="D223">
        <v>205.5</v>
      </c>
      <c r="E223">
        <v>13</v>
      </c>
      <c r="F223">
        <v>1</v>
      </c>
    </row>
    <row r="224" spans="1:6" x14ac:dyDescent="0.35">
      <c r="A224" t="s">
        <v>11</v>
      </c>
      <c r="B224">
        <v>201</v>
      </c>
      <c r="C224">
        <v>210</v>
      </c>
      <c r="D224">
        <v>205.5</v>
      </c>
      <c r="E224">
        <v>14</v>
      </c>
      <c r="F224">
        <v>1</v>
      </c>
    </row>
    <row r="225" spans="1:6" x14ac:dyDescent="0.35">
      <c r="A225" t="s">
        <v>11</v>
      </c>
      <c r="B225">
        <v>211</v>
      </c>
      <c r="C225">
        <v>220</v>
      </c>
      <c r="D225">
        <v>215.5</v>
      </c>
      <c r="E225">
        <v>7</v>
      </c>
      <c r="F225">
        <v>68</v>
      </c>
    </row>
    <row r="226" spans="1:6" x14ac:dyDescent="0.35">
      <c r="A226" t="s">
        <v>11</v>
      </c>
      <c r="B226">
        <v>211</v>
      </c>
      <c r="C226">
        <v>220</v>
      </c>
      <c r="D226">
        <v>215.5</v>
      </c>
      <c r="E226">
        <v>8</v>
      </c>
      <c r="F226">
        <v>49</v>
      </c>
    </row>
    <row r="227" spans="1:6" x14ac:dyDescent="0.35">
      <c r="A227" t="s">
        <v>11</v>
      </c>
      <c r="B227">
        <v>211</v>
      </c>
      <c r="C227">
        <v>220</v>
      </c>
      <c r="D227">
        <v>215.5</v>
      </c>
      <c r="E227">
        <v>9</v>
      </c>
      <c r="F227">
        <v>18</v>
      </c>
    </row>
    <row r="228" spans="1:6" x14ac:dyDescent="0.35">
      <c r="A228" t="s">
        <v>11</v>
      </c>
      <c r="B228">
        <v>211</v>
      </c>
      <c r="C228">
        <v>220</v>
      </c>
      <c r="D228">
        <v>215.5</v>
      </c>
      <c r="E228">
        <v>10</v>
      </c>
      <c r="F228">
        <v>10</v>
      </c>
    </row>
    <row r="229" spans="1:6" x14ac:dyDescent="0.35">
      <c r="A229" t="s">
        <v>11</v>
      </c>
      <c r="B229">
        <v>211</v>
      </c>
      <c r="C229">
        <v>220</v>
      </c>
      <c r="D229">
        <v>215.5</v>
      </c>
      <c r="E229">
        <v>11</v>
      </c>
      <c r="F229">
        <v>4</v>
      </c>
    </row>
    <row r="230" spans="1:6" x14ac:dyDescent="0.35">
      <c r="A230" t="s">
        <v>11</v>
      </c>
      <c r="B230">
        <v>211</v>
      </c>
      <c r="C230">
        <v>220</v>
      </c>
      <c r="D230">
        <v>215.5</v>
      </c>
      <c r="E230">
        <v>13</v>
      </c>
      <c r="F230">
        <v>1</v>
      </c>
    </row>
    <row r="231" spans="1:6" x14ac:dyDescent="0.35">
      <c r="A231" t="s">
        <v>11</v>
      </c>
      <c r="B231">
        <v>221</v>
      </c>
      <c r="C231">
        <v>230</v>
      </c>
      <c r="D231">
        <v>225.5</v>
      </c>
      <c r="E231">
        <v>7</v>
      </c>
      <c r="F231">
        <v>55</v>
      </c>
    </row>
    <row r="232" spans="1:6" x14ac:dyDescent="0.35">
      <c r="A232" t="s">
        <v>11</v>
      </c>
      <c r="B232">
        <v>221</v>
      </c>
      <c r="C232">
        <v>230</v>
      </c>
      <c r="D232">
        <v>225.5</v>
      </c>
      <c r="E232">
        <v>8</v>
      </c>
      <c r="F232">
        <v>25</v>
      </c>
    </row>
    <row r="233" spans="1:6" x14ac:dyDescent="0.35">
      <c r="A233" t="s">
        <v>11</v>
      </c>
      <c r="B233">
        <v>221</v>
      </c>
      <c r="C233">
        <v>230</v>
      </c>
      <c r="D233">
        <v>225.5</v>
      </c>
      <c r="E233">
        <v>9</v>
      </c>
      <c r="F233">
        <v>16</v>
      </c>
    </row>
    <row r="234" spans="1:6" x14ac:dyDescent="0.35">
      <c r="A234" t="s">
        <v>11</v>
      </c>
      <c r="B234">
        <v>221</v>
      </c>
      <c r="C234">
        <v>230</v>
      </c>
      <c r="D234">
        <v>225.5</v>
      </c>
      <c r="E234">
        <v>10</v>
      </c>
      <c r="F234">
        <v>7</v>
      </c>
    </row>
    <row r="235" spans="1:6" x14ac:dyDescent="0.35">
      <c r="A235" t="s">
        <v>11</v>
      </c>
      <c r="B235">
        <v>221</v>
      </c>
      <c r="C235">
        <v>230</v>
      </c>
      <c r="D235">
        <v>225.5</v>
      </c>
      <c r="E235">
        <v>11</v>
      </c>
      <c r="F235">
        <v>5</v>
      </c>
    </row>
    <row r="236" spans="1:6" x14ac:dyDescent="0.35">
      <c r="A236" t="s">
        <v>11</v>
      </c>
      <c r="B236">
        <v>221</v>
      </c>
      <c r="C236">
        <v>230</v>
      </c>
      <c r="D236">
        <v>225.5</v>
      </c>
      <c r="E236">
        <v>14</v>
      </c>
      <c r="F236">
        <v>1</v>
      </c>
    </row>
    <row r="237" spans="1:6" x14ac:dyDescent="0.35">
      <c r="A237" t="s">
        <v>11</v>
      </c>
      <c r="B237">
        <v>221</v>
      </c>
      <c r="C237">
        <v>230</v>
      </c>
      <c r="D237">
        <v>225.5</v>
      </c>
      <c r="E237">
        <v>15</v>
      </c>
      <c r="F237">
        <v>1</v>
      </c>
    </row>
    <row r="238" spans="1:6" x14ac:dyDescent="0.35">
      <c r="A238" t="s">
        <v>11</v>
      </c>
      <c r="B238">
        <v>231</v>
      </c>
      <c r="C238">
        <v>240</v>
      </c>
      <c r="D238">
        <v>235.5</v>
      </c>
      <c r="E238">
        <v>7</v>
      </c>
      <c r="F238">
        <v>62</v>
      </c>
    </row>
    <row r="239" spans="1:6" x14ac:dyDescent="0.35">
      <c r="A239" t="s">
        <v>11</v>
      </c>
      <c r="B239">
        <v>231</v>
      </c>
      <c r="C239">
        <v>240</v>
      </c>
      <c r="D239">
        <v>235.5</v>
      </c>
      <c r="E239">
        <v>8</v>
      </c>
      <c r="F239">
        <v>32</v>
      </c>
    </row>
    <row r="240" spans="1:6" x14ac:dyDescent="0.35">
      <c r="A240" t="s">
        <v>11</v>
      </c>
      <c r="B240">
        <v>231</v>
      </c>
      <c r="C240">
        <v>240</v>
      </c>
      <c r="D240">
        <v>235.5</v>
      </c>
      <c r="E240">
        <v>9</v>
      </c>
      <c r="F240">
        <v>9</v>
      </c>
    </row>
    <row r="241" spans="1:6" x14ac:dyDescent="0.35">
      <c r="A241" t="s">
        <v>11</v>
      </c>
      <c r="B241">
        <v>231</v>
      </c>
      <c r="C241">
        <v>240</v>
      </c>
      <c r="D241">
        <v>235.5</v>
      </c>
      <c r="E241">
        <v>10</v>
      </c>
      <c r="F241">
        <v>5</v>
      </c>
    </row>
    <row r="242" spans="1:6" x14ac:dyDescent="0.35">
      <c r="A242" t="s">
        <v>11</v>
      </c>
      <c r="B242">
        <v>231</v>
      </c>
      <c r="C242">
        <v>240</v>
      </c>
      <c r="D242">
        <v>235.5</v>
      </c>
      <c r="E242">
        <v>11</v>
      </c>
      <c r="F242">
        <v>3</v>
      </c>
    </row>
    <row r="243" spans="1:6" x14ac:dyDescent="0.35">
      <c r="A243" t="s">
        <v>11</v>
      </c>
      <c r="B243">
        <v>231</v>
      </c>
      <c r="C243">
        <v>240</v>
      </c>
      <c r="D243">
        <v>235.5</v>
      </c>
      <c r="E243">
        <v>13</v>
      </c>
      <c r="F243">
        <v>1</v>
      </c>
    </row>
    <row r="244" spans="1:6" x14ac:dyDescent="0.35">
      <c r="A244" t="s">
        <v>11</v>
      </c>
      <c r="B244">
        <v>241</v>
      </c>
      <c r="C244">
        <v>250</v>
      </c>
      <c r="D244">
        <v>245.5</v>
      </c>
      <c r="E244">
        <v>7</v>
      </c>
      <c r="F244">
        <v>48</v>
      </c>
    </row>
    <row r="245" spans="1:6" x14ac:dyDescent="0.35">
      <c r="A245" t="s">
        <v>11</v>
      </c>
      <c r="B245">
        <v>241</v>
      </c>
      <c r="C245">
        <v>250</v>
      </c>
      <c r="D245">
        <v>245.5</v>
      </c>
      <c r="E245">
        <v>8</v>
      </c>
      <c r="F245">
        <v>26</v>
      </c>
    </row>
    <row r="246" spans="1:6" x14ac:dyDescent="0.35">
      <c r="A246" t="s">
        <v>11</v>
      </c>
      <c r="B246">
        <v>241</v>
      </c>
      <c r="C246">
        <v>250</v>
      </c>
      <c r="D246">
        <v>245.5</v>
      </c>
      <c r="E246">
        <v>9</v>
      </c>
      <c r="F246">
        <v>10</v>
      </c>
    </row>
    <row r="247" spans="1:6" x14ac:dyDescent="0.35">
      <c r="A247" t="s">
        <v>11</v>
      </c>
      <c r="B247">
        <v>241</v>
      </c>
      <c r="C247">
        <v>250</v>
      </c>
      <c r="D247">
        <v>245.5</v>
      </c>
      <c r="E247">
        <v>10</v>
      </c>
      <c r="F247">
        <v>6</v>
      </c>
    </row>
    <row r="248" spans="1:6" x14ac:dyDescent="0.35">
      <c r="A248" t="s">
        <v>11</v>
      </c>
      <c r="B248">
        <v>241</v>
      </c>
      <c r="C248">
        <v>250</v>
      </c>
      <c r="D248">
        <v>245.5</v>
      </c>
      <c r="E248">
        <v>12</v>
      </c>
      <c r="F248">
        <v>1</v>
      </c>
    </row>
    <row r="249" spans="1:6" x14ac:dyDescent="0.35">
      <c r="A249" t="s">
        <v>11</v>
      </c>
      <c r="B249">
        <v>241</v>
      </c>
      <c r="C249">
        <v>250</v>
      </c>
      <c r="D249">
        <v>245.5</v>
      </c>
      <c r="E249">
        <v>13</v>
      </c>
      <c r="F249">
        <v>1</v>
      </c>
    </row>
    <row r="250" spans="1:6" x14ac:dyDescent="0.35">
      <c r="A250" t="s">
        <v>11</v>
      </c>
      <c r="B250">
        <v>251</v>
      </c>
      <c r="C250">
        <v>260</v>
      </c>
      <c r="D250">
        <v>255.5</v>
      </c>
      <c r="E250">
        <v>7</v>
      </c>
      <c r="F250">
        <v>55</v>
      </c>
    </row>
    <row r="251" spans="1:6" x14ac:dyDescent="0.35">
      <c r="A251" t="s">
        <v>11</v>
      </c>
      <c r="B251">
        <v>251</v>
      </c>
      <c r="C251">
        <v>260</v>
      </c>
      <c r="D251">
        <v>255.5</v>
      </c>
      <c r="E251">
        <v>8</v>
      </c>
      <c r="F251">
        <v>22</v>
      </c>
    </row>
    <row r="252" spans="1:6" x14ac:dyDescent="0.35">
      <c r="A252" t="s">
        <v>11</v>
      </c>
      <c r="B252">
        <v>251</v>
      </c>
      <c r="C252">
        <v>260</v>
      </c>
      <c r="D252">
        <v>255.5</v>
      </c>
      <c r="E252">
        <v>9</v>
      </c>
      <c r="F252">
        <v>13</v>
      </c>
    </row>
    <row r="253" spans="1:6" x14ac:dyDescent="0.35">
      <c r="A253" t="s">
        <v>11</v>
      </c>
      <c r="B253">
        <v>251</v>
      </c>
      <c r="C253">
        <v>260</v>
      </c>
      <c r="D253">
        <v>255.5</v>
      </c>
      <c r="E253">
        <v>10</v>
      </c>
      <c r="F253">
        <v>9</v>
      </c>
    </row>
    <row r="254" spans="1:6" x14ac:dyDescent="0.35">
      <c r="A254" t="s">
        <v>11</v>
      </c>
      <c r="B254">
        <v>251</v>
      </c>
      <c r="C254">
        <v>260</v>
      </c>
      <c r="D254">
        <v>255.5</v>
      </c>
      <c r="E254">
        <v>11</v>
      </c>
      <c r="F254">
        <v>1</v>
      </c>
    </row>
    <row r="255" spans="1:6" x14ac:dyDescent="0.35">
      <c r="A255" t="s">
        <v>11</v>
      </c>
      <c r="B255">
        <v>251</v>
      </c>
      <c r="C255">
        <v>260</v>
      </c>
      <c r="D255">
        <v>255.5</v>
      </c>
      <c r="E255">
        <v>12</v>
      </c>
      <c r="F255">
        <v>2</v>
      </c>
    </row>
    <row r="256" spans="1:6" x14ac:dyDescent="0.35">
      <c r="A256" t="s">
        <v>11</v>
      </c>
      <c r="B256">
        <v>261</v>
      </c>
      <c r="C256">
        <v>270</v>
      </c>
      <c r="D256">
        <v>265.5</v>
      </c>
      <c r="E256">
        <v>7</v>
      </c>
      <c r="F256">
        <v>33</v>
      </c>
    </row>
    <row r="257" spans="1:6" x14ac:dyDescent="0.35">
      <c r="A257" t="s">
        <v>11</v>
      </c>
      <c r="B257">
        <v>261</v>
      </c>
      <c r="C257">
        <v>270</v>
      </c>
      <c r="D257">
        <v>265.5</v>
      </c>
      <c r="E257">
        <v>8</v>
      </c>
      <c r="F257">
        <v>19</v>
      </c>
    </row>
    <row r="258" spans="1:6" x14ac:dyDescent="0.35">
      <c r="A258" t="s">
        <v>11</v>
      </c>
      <c r="B258">
        <v>261</v>
      </c>
      <c r="C258">
        <v>270</v>
      </c>
      <c r="D258">
        <v>265.5</v>
      </c>
      <c r="E258">
        <v>9</v>
      </c>
      <c r="F258">
        <v>17</v>
      </c>
    </row>
    <row r="259" spans="1:6" x14ac:dyDescent="0.35">
      <c r="A259" t="s">
        <v>11</v>
      </c>
      <c r="B259">
        <v>261</v>
      </c>
      <c r="C259">
        <v>270</v>
      </c>
      <c r="D259">
        <v>265.5</v>
      </c>
      <c r="E259">
        <v>10</v>
      </c>
      <c r="F259">
        <v>3</v>
      </c>
    </row>
    <row r="260" spans="1:6" x14ac:dyDescent="0.35">
      <c r="A260" t="s">
        <v>11</v>
      </c>
      <c r="B260">
        <v>261</v>
      </c>
      <c r="C260">
        <v>270</v>
      </c>
      <c r="D260">
        <v>265.5</v>
      </c>
      <c r="E260">
        <v>12</v>
      </c>
      <c r="F260">
        <v>2</v>
      </c>
    </row>
    <row r="261" spans="1:6" x14ac:dyDescent="0.35">
      <c r="A261" t="s">
        <v>11</v>
      </c>
      <c r="B261">
        <v>261</v>
      </c>
      <c r="C261">
        <v>270</v>
      </c>
      <c r="D261">
        <v>265.5</v>
      </c>
      <c r="E261">
        <v>14</v>
      </c>
      <c r="F261">
        <v>2</v>
      </c>
    </row>
    <row r="262" spans="1:6" x14ac:dyDescent="0.35">
      <c r="A262" t="s">
        <v>11</v>
      </c>
      <c r="B262">
        <v>271</v>
      </c>
      <c r="C262">
        <v>280</v>
      </c>
      <c r="D262">
        <v>275.5</v>
      </c>
      <c r="E262">
        <v>7</v>
      </c>
      <c r="F262">
        <v>50</v>
      </c>
    </row>
    <row r="263" spans="1:6" x14ac:dyDescent="0.35">
      <c r="A263" t="s">
        <v>11</v>
      </c>
      <c r="B263">
        <v>271</v>
      </c>
      <c r="C263">
        <v>280</v>
      </c>
      <c r="D263">
        <v>275.5</v>
      </c>
      <c r="E263">
        <v>8</v>
      </c>
      <c r="F263">
        <v>25</v>
      </c>
    </row>
    <row r="264" spans="1:6" x14ac:dyDescent="0.35">
      <c r="A264" t="s">
        <v>11</v>
      </c>
      <c r="B264">
        <v>271</v>
      </c>
      <c r="C264">
        <v>280</v>
      </c>
      <c r="D264">
        <v>275.5</v>
      </c>
      <c r="E264">
        <v>9</v>
      </c>
      <c r="F264">
        <v>7</v>
      </c>
    </row>
    <row r="265" spans="1:6" x14ac:dyDescent="0.35">
      <c r="A265" t="s">
        <v>11</v>
      </c>
      <c r="B265">
        <v>271</v>
      </c>
      <c r="C265">
        <v>280</v>
      </c>
      <c r="D265">
        <v>275.5</v>
      </c>
      <c r="E265">
        <v>10</v>
      </c>
      <c r="F265">
        <v>2</v>
      </c>
    </row>
    <row r="266" spans="1:6" x14ac:dyDescent="0.35">
      <c r="A266" t="s">
        <v>11</v>
      </c>
      <c r="B266">
        <v>271</v>
      </c>
      <c r="C266">
        <v>280</v>
      </c>
      <c r="D266">
        <v>275.5</v>
      </c>
      <c r="E266">
        <v>11</v>
      </c>
      <c r="F266">
        <v>1</v>
      </c>
    </row>
    <row r="267" spans="1:6" x14ac:dyDescent="0.35">
      <c r="A267" t="s">
        <v>11</v>
      </c>
      <c r="B267">
        <v>281</v>
      </c>
      <c r="C267">
        <v>290</v>
      </c>
      <c r="D267">
        <v>285.5</v>
      </c>
      <c r="E267">
        <v>7</v>
      </c>
      <c r="F267">
        <v>38</v>
      </c>
    </row>
    <row r="268" spans="1:6" x14ac:dyDescent="0.35">
      <c r="A268" t="s">
        <v>11</v>
      </c>
      <c r="B268">
        <v>281</v>
      </c>
      <c r="C268">
        <v>290</v>
      </c>
      <c r="D268">
        <v>285.5</v>
      </c>
      <c r="E268">
        <v>8</v>
      </c>
      <c r="F268">
        <v>12</v>
      </c>
    </row>
    <row r="269" spans="1:6" x14ac:dyDescent="0.35">
      <c r="A269" t="s">
        <v>11</v>
      </c>
      <c r="B269">
        <v>281</v>
      </c>
      <c r="C269">
        <v>290</v>
      </c>
      <c r="D269">
        <v>285.5</v>
      </c>
      <c r="E269">
        <v>9</v>
      </c>
      <c r="F269">
        <v>12</v>
      </c>
    </row>
    <row r="270" spans="1:6" x14ac:dyDescent="0.35">
      <c r="A270" t="s">
        <v>11</v>
      </c>
      <c r="B270">
        <v>281</v>
      </c>
      <c r="C270">
        <v>290</v>
      </c>
      <c r="D270">
        <v>285.5</v>
      </c>
      <c r="E270">
        <v>10</v>
      </c>
      <c r="F270">
        <v>4</v>
      </c>
    </row>
    <row r="271" spans="1:6" x14ac:dyDescent="0.35">
      <c r="A271" t="s">
        <v>11</v>
      </c>
      <c r="B271">
        <v>281</v>
      </c>
      <c r="C271">
        <v>290</v>
      </c>
      <c r="D271">
        <v>285.5</v>
      </c>
      <c r="E271">
        <v>11</v>
      </c>
      <c r="F271">
        <v>1</v>
      </c>
    </row>
    <row r="272" spans="1:6" x14ac:dyDescent="0.35">
      <c r="A272" t="s">
        <v>11</v>
      </c>
      <c r="B272">
        <v>281</v>
      </c>
      <c r="C272">
        <v>290</v>
      </c>
      <c r="D272">
        <v>285.5</v>
      </c>
      <c r="E272">
        <v>12</v>
      </c>
      <c r="F272">
        <v>1</v>
      </c>
    </row>
    <row r="273" spans="1:6" x14ac:dyDescent="0.35">
      <c r="A273" t="s">
        <v>11</v>
      </c>
      <c r="B273">
        <v>291</v>
      </c>
      <c r="C273">
        <v>300</v>
      </c>
      <c r="D273">
        <v>295.5</v>
      </c>
      <c r="E273">
        <v>7</v>
      </c>
      <c r="F273">
        <v>27</v>
      </c>
    </row>
    <row r="274" spans="1:6" x14ac:dyDescent="0.35">
      <c r="A274" t="s">
        <v>11</v>
      </c>
      <c r="B274">
        <v>291</v>
      </c>
      <c r="C274">
        <v>300</v>
      </c>
      <c r="D274">
        <v>295.5</v>
      </c>
      <c r="E274">
        <v>8</v>
      </c>
      <c r="F274">
        <v>22</v>
      </c>
    </row>
    <row r="275" spans="1:6" x14ac:dyDescent="0.35">
      <c r="A275" t="s">
        <v>11</v>
      </c>
      <c r="B275">
        <v>291</v>
      </c>
      <c r="C275">
        <v>300</v>
      </c>
      <c r="D275">
        <v>295.5</v>
      </c>
      <c r="E275">
        <v>9</v>
      </c>
      <c r="F275">
        <v>6</v>
      </c>
    </row>
    <row r="276" spans="1:6" x14ac:dyDescent="0.35">
      <c r="A276" t="s">
        <v>11</v>
      </c>
      <c r="B276">
        <v>291</v>
      </c>
      <c r="C276">
        <v>300</v>
      </c>
      <c r="D276">
        <v>295.5</v>
      </c>
      <c r="E276">
        <v>10</v>
      </c>
      <c r="F276">
        <v>5</v>
      </c>
    </row>
    <row r="277" spans="1:6" x14ac:dyDescent="0.35">
      <c r="A277" t="s">
        <v>11</v>
      </c>
      <c r="B277">
        <v>291</v>
      </c>
      <c r="C277">
        <v>300</v>
      </c>
      <c r="D277">
        <v>295.5</v>
      </c>
      <c r="E277">
        <v>11</v>
      </c>
      <c r="F277">
        <v>1</v>
      </c>
    </row>
    <row r="278" spans="1:6" x14ac:dyDescent="0.35">
      <c r="A278" t="s">
        <v>11</v>
      </c>
      <c r="B278">
        <v>291</v>
      </c>
      <c r="C278">
        <v>300</v>
      </c>
      <c r="D278">
        <v>295.5</v>
      </c>
      <c r="E278">
        <v>12</v>
      </c>
      <c r="F278">
        <v>2</v>
      </c>
    </row>
    <row r="279" spans="1:6" x14ac:dyDescent="0.35">
      <c r="A279" t="s">
        <v>11</v>
      </c>
      <c r="B279">
        <v>301</v>
      </c>
      <c r="C279">
        <v>310</v>
      </c>
      <c r="D279">
        <v>305.5</v>
      </c>
      <c r="E279">
        <v>7</v>
      </c>
      <c r="F279">
        <v>18</v>
      </c>
    </row>
    <row r="280" spans="1:6" x14ac:dyDescent="0.35">
      <c r="A280" t="s">
        <v>11</v>
      </c>
      <c r="B280">
        <v>301</v>
      </c>
      <c r="C280">
        <v>310</v>
      </c>
      <c r="D280">
        <v>305.5</v>
      </c>
      <c r="E280">
        <v>8</v>
      </c>
      <c r="F280">
        <v>14</v>
      </c>
    </row>
    <row r="281" spans="1:6" x14ac:dyDescent="0.35">
      <c r="A281" t="s">
        <v>11</v>
      </c>
      <c r="B281">
        <v>301</v>
      </c>
      <c r="C281">
        <v>310</v>
      </c>
      <c r="D281">
        <v>305.5</v>
      </c>
      <c r="E281">
        <v>9</v>
      </c>
      <c r="F281">
        <v>4</v>
      </c>
    </row>
    <row r="282" spans="1:6" x14ac:dyDescent="0.35">
      <c r="A282" t="s">
        <v>11</v>
      </c>
      <c r="B282">
        <v>301</v>
      </c>
      <c r="C282">
        <v>310</v>
      </c>
      <c r="D282">
        <v>305.5</v>
      </c>
      <c r="E282">
        <v>10</v>
      </c>
      <c r="F282">
        <v>2</v>
      </c>
    </row>
    <row r="283" spans="1:6" x14ac:dyDescent="0.35">
      <c r="A283" t="s">
        <v>11</v>
      </c>
      <c r="B283">
        <v>301</v>
      </c>
      <c r="C283">
        <v>310</v>
      </c>
      <c r="D283">
        <v>305.5</v>
      </c>
      <c r="E283">
        <v>11</v>
      </c>
      <c r="F283">
        <v>3</v>
      </c>
    </row>
    <row r="284" spans="1:6" x14ac:dyDescent="0.35">
      <c r="A284" t="s">
        <v>11</v>
      </c>
      <c r="B284">
        <v>301</v>
      </c>
      <c r="C284">
        <v>310</v>
      </c>
      <c r="D284">
        <v>305.5</v>
      </c>
      <c r="E284">
        <v>12</v>
      </c>
      <c r="F284">
        <v>1</v>
      </c>
    </row>
    <row r="285" spans="1:6" x14ac:dyDescent="0.35">
      <c r="A285" t="s">
        <v>11</v>
      </c>
      <c r="B285">
        <v>301</v>
      </c>
      <c r="C285">
        <v>310</v>
      </c>
      <c r="D285">
        <v>305.5</v>
      </c>
      <c r="E285">
        <v>13</v>
      </c>
      <c r="F285">
        <v>1</v>
      </c>
    </row>
    <row r="286" spans="1:6" x14ac:dyDescent="0.35">
      <c r="A286" t="s">
        <v>11</v>
      </c>
      <c r="B286">
        <v>311</v>
      </c>
      <c r="C286">
        <v>320</v>
      </c>
      <c r="D286">
        <v>315.5</v>
      </c>
      <c r="E286">
        <v>7</v>
      </c>
      <c r="F286">
        <v>17</v>
      </c>
    </row>
    <row r="287" spans="1:6" x14ac:dyDescent="0.35">
      <c r="A287" t="s">
        <v>11</v>
      </c>
      <c r="B287">
        <v>311</v>
      </c>
      <c r="C287">
        <v>320</v>
      </c>
      <c r="D287">
        <v>315.5</v>
      </c>
      <c r="E287">
        <v>8</v>
      </c>
      <c r="F287">
        <v>11</v>
      </c>
    </row>
    <row r="288" spans="1:6" x14ac:dyDescent="0.35">
      <c r="A288" t="s">
        <v>11</v>
      </c>
      <c r="B288">
        <v>311</v>
      </c>
      <c r="C288">
        <v>320</v>
      </c>
      <c r="D288">
        <v>315.5</v>
      </c>
      <c r="E288">
        <v>9</v>
      </c>
      <c r="F288">
        <v>4</v>
      </c>
    </row>
    <row r="289" spans="1:6" x14ac:dyDescent="0.35">
      <c r="A289" t="s">
        <v>11</v>
      </c>
      <c r="B289">
        <v>311</v>
      </c>
      <c r="C289">
        <v>320</v>
      </c>
      <c r="D289">
        <v>315.5</v>
      </c>
      <c r="E289">
        <v>10</v>
      </c>
      <c r="F289">
        <v>1</v>
      </c>
    </row>
    <row r="290" spans="1:6" x14ac:dyDescent="0.35">
      <c r="A290" t="s">
        <v>11</v>
      </c>
      <c r="B290">
        <v>311</v>
      </c>
      <c r="C290">
        <v>320</v>
      </c>
      <c r="D290">
        <v>315.5</v>
      </c>
      <c r="E290">
        <v>11</v>
      </c>
      <c r="F290">
        <v>2</v>
      </c>
    </row>
    <row r="291" spans="1:6" x14ac:dyDescent="0.35">
      <c r="A291" t="s">
        <v>11</v>
      </c>
      <c r="B291">
        <v>311</v>
      </c>
      <c r="C291">
        <v>320</v>
      </c>
      <c r="D291">
        <v>315.5</v>
      </c>
      <c r="E291">
        <v>12</v>
      </c>
      <c r="F291">
        <v>1</v>
      </c>
    </row>
    <row r="292" spans="1:6" x14ac:dyDescent="0.35">
      <c r="A292" t="s">
        <v>11</v>
      </c>
      <c r="B292">
        <v>321</v>
      </c>
      <c r="C292">
        <v>330</v>
      </c>
      <c r="D292">
        <v>325.5</v>
      </c>
      <c r="E292">
        <v>7</v>
      </c>
      <c r="F292">
        <v>23</v>
      </c>
    </row>
    <row r="293" spans="1:6" x14ac:dyDescent="0.35">
      <c r="A293" t="s">
        <v>11</v>
      </c>
      <c r="B293">
        <v>321</v>
      </c>
      <c r="C293">
        <v>330</v>
      </c>
      <c r="D293">
        <v>325.5</v>
      </c>
      <c r="E293">
        <v>8</v>
      </c>
      <c r="F293">
        <v>9</v>
      </c>
    </row>
    <row r="294" spans="1:6" x14ac:dyDescent="0.35">
      <c r="A294" t="s">
        <v>11</v>
      </c>
      <c r="B294">
        <v>321</v>
      </c>
      <c r="C294">
        <v>330</v>
      </c>
      <c r="D294">
        <v>325.5</v>
      </c>
      <c r="E294">
        <v>9</v>
      </c>
      <c r="F294">
        <v>1</v>
      </c>
    </row>
    <row r="295" spans="1:6" x14ac:dyDescent="0.35">
      <c r="A295" t="s">
        <v>11</v>
      </c>
      <c r="B295">
        <v>321</v>
      </c>
      <c r="C295">
        <v>330</v>
      </c>
      <c r="D295">
        <v>325.5</v>
      </c>
      <c r="E295">
        <v>10</v>
      </c>
      <c r="F295">
        <v>2</v>
      </c>
    </row>
    <row r="296" spans="1:6" x14ac:dyDescent="0.35">
      <c r="A296" t="s">
        <v>11</v>
      </c>
      <c r="B296">
        <v>331</v>
      </c>
      <c r="C296">
        <v>340</v>
      </c>
      <c r="D296">
        <v>335.5</v>
      </c>
      <c r="E296">
        <v>7</v>
      </c>
      <c r="F296">
        <v>12</v>
      </c>
    </row>
    <row r="297" spans="1:6" x14ac:dyDescent="0.35">
      <c r="A297" t="s">
        <v>11</v>
      </c>
      <c r="B297">
        <v>331</v>
      </c>
      <c r="C297">
        <v>340</v>
      </c>
      <c r="D297">
        <v>335.5</v>
      </c>
      <c r="E297">
        <v>8</v>
      </c>
      <c r="F297">
        <v>7</v>
      </c>
    </row>
    <row r="298" spans="1:6" x14ac:dyDescent="0.35">
      <c r="A298" t="s">
        <v>11</v>
      </c>
      <c r="B298">
        <v>331</v>
      </c>
      <c r="C298">
        <v>340</v>
      </c>
      <c r="D298">
        <v>335.5</v>
      </c>
      <c r="E298">
        <v>9</v>
      </c>
      <c r="F298">
        <v>3</v>
      </c>
    </row>
    <row r="299" spans="1:6" x14ac:dyDescent="0.35">
      <c r="A299" t="s">
        <v>11</v>
      </c>
      <c r="B299">
        <v>331</v>
      </c>
      <c r="C299">
        <v>340</v>
      </c>
      <c r="D299">
        <v>335.5</v>
      </c>
      <c r="E299">
        <v>10</v>
      </c>
      <c r="F299">
        <v>1</v>
      </c>
    </row>
    <row r="300" spans="1:6" x14ac:dyDescent="0.35">
      <c r="A300" t="s">
        <v>11</v>
      </c>
      <c r="B300">
        <v>341</v>
      </c>
      <c r="C300">
        <v>350</v>
      </c>
      <c r="D300">
        <v>345.5</v>
      </c>
      <c r="E300">
        <v>7</v>
      </c>
      <c r="F300">
        <v>20</v>
      </c>
    </row>
    <row r="301" spans="1:6" x14ac:dyDescent="0.35">
      <c r="A301" t="s">
        <v>11</v>
      </c>
      <c r="B301">
        <v>341</v>
      </c>
      <c r="C301">
        <v>350</v>
      </c>
      <c r="D301">
        <v>345.5</v>
      </c>
      <c r="E301">
        <v>8</v>
      </c>
      <c r="F301">
        <v>6</v>
      </c>
    </row>
    <row r="302" spans="1:6" x14ac:dyDescent="0.35">
      <c r="A302" t="s">
        <v>11</v>
      </c>
      <c r="B302">
        <v>341</v>
      </c>
      <c r="C302">
        <v>350</v>
      </c>
      <c r="D302">
        <v>345.5</v>
      </c>
      <c r="E302">
        <v>9</v>
      </c>
      <c r="F302">
        <v>4</v>
      </c>
    </row>
    <row r="303" spans="1:6" x14ac:dyDescent="0.35">
      <c r="A303" t="s">
        <v>11</v>
      </c>
      <c r="B303">
        <v>341</v>
      </c>
      <c r="C303">
        <v>350</v>
      </c>
      <c r="D303">
        <v>345.5</v>
      </c>
      <c r="E303">
        <v>10</v>
      </c>
      <c r="F303">
        <v>3</v>
      </c>
    </row>
    <row r="304" spans="1:6" x14ac:dyDescent="0.35">
      <c r="A304" t="s">
        <v>11</v>
      </c>
      <c r="B304">
        <v>351</v>
      </c>
      <c r="C304">
        <v>360</v>
      </c>
      <c r="D304">
        <v>355.5</v>
      </c>
      <c r="E304">
        <v>7</v>
      </c>
      <c r="F304">
        <v>12</v>
      </c>
    </row>
    <row r="305" spans="1:6" x14ac:dyDescent="0.35">
      <c r="A305" t="s">
        <v>11</v>
      </c>
      <c r="B305">
        <v>351</v>
      </c>
      <c r="C305">
        <v>360</v>
      </c>
      <c r="D305">
        <v>355.5</v>
      </c>
      <c r="E305">
        <v>8</v>
      </c>
      <c r="F305">
        <v>9</v>
      </c>
    </row>
    <row r="306" spans="1:6" x14ac:dyDescent="0.35">
      <c r="A306" t="s">
        <v>11</v>
      </c>
      <c r="B306">
        <v>351</v>
      </c>
      <c r="C306">
        <v>360</v>
      </c>
      <c r="D306">
        <v>355.5</v>
      </c>
      <c r="E306">
        <v>9</v>
      </c>
      <c r="F306">
        <v>2</v>
      </c>
    </row>
    <row r="307" spans="1:6" x14ac:dyDescent="0.35">
      <c r="A307" t="s">
        <v>11</v>
      </c>
      <c r="B307">
        <v>351</v>
      </c>
      <c r="C307">
        <v>360</v>
      </c>
      <c r="D307">
        <v>355.5</v>
      </c>
      <c r="E307">
        <v>10</v>
      </c>
      <c r="F307">
        <v>2</v>
      </c>
    </row>
    <row r="308" spans="1:6" x14ac:dyDescent="0.35">
      <c r="A308" t="s">
        <v>11</v>
      </c>
      <c r="B308">
        <v>351</v>
      </c>
      <c r="C308">
        <v>360</v>
      </c>
      <c r="D308">
        <v>355.5</v>
      </c>
      <c r="E308">
        <v>12</v>
      </c>
      <c r="F308">
        <v>1</v>
      </c>
    </row>
    <row r="309" spans="1:6" x14ac:dyDescent="0.35">
      <c r="A309" t="s">
        <v>11</v>
      </c>
      <c r="B309">
        <v>361</v>
      </c>
      <c r="C309">
        <v>370</v>
      </c>
      <c r="D309">
        <v>365.5</v>
      </c>
      <c r="E309">
        <v>7</v>
      </c>
      <c r="F309">
        <v>16</v>
      </c>
    </row>
    <row r="310" spans="1:6" x14ac:dyDescent="0.35">
      <c r="A310" t="s">
        <v>11</v>
      </c>
      <c r="B310">
        <v>361</v>
      </c>
      <c r="C310">
        <v>370</v>
      </c>
      <c r="D310">
        <v>365.5</v>
      </c>
      <c r="E310">
        <v>8</v>
      </c>
      <c r="F310">
        <v>4</v>
      </c>
    </row>
    <row r="311" spans="1:6" x14ac:dyDescent="0.35">
      <c r="A311" t="s">
        <v>11</v>
      </c>
      <c r="B311">
        <v>371</v>
      </c>
      <c r="C311">
        <v>380</v>
      </c>
      <c r="D311">
        <v>375.5</v>
      </c>
      <c r="E311">
        <v>7</v>
      </c>
      <c r="F311">
        <v>8</v>
      </c>
    </row>
    <row r="312" spans="1:6" x14ac:dyDescent="0.35">
      <c r="A312" t="s">
        <v>11</v>
      </c>
      <c r="B312">
        <v>371</v>
      </c>
      <c r="C312">
        <v>380</v>
      </c>
      <c r="D312">
        <v>375.5</v>
      </c>
      <c r="E312">
        <v>8</v>
      </c>
      <c r="F312">
        <v>6</v>
      </c>
    </row>
    <row r="313" spans="1:6" x14ac:dyDescent="0.35">
      <c r="A313" t="s">
        <v>11</v>
      </c>
      <c r="B313">
        <v>371</v>
      </c>
      <c r="C313">
        <v>380</v>
      </c>
      <c r="D313">
        <v>375.5</v>
      </c>
      <c r="E313">
        <v>9</v>
      </c>
      <c r="F313">
        <v>2</v>
      </c>
    </row>
    <row r="314" spans="1:6" x14ac:dyDescent="0.35">
      <c r="A314" t="s">
        <v>11</v>
      </c>
      <c r="B314">
        <v>371</v>
      </c>
      <c r="C314">
        <v>380</v>
      </c>
      <c r="D314">
        <v>375.5</v>
      </c>
      <c r="E314">
        <v>10</v>
      </c>
      <c r="F314">
        <v>1</v>
      </c>
    </row>
    <row r="315" spans="1:6" x14ac:dyDescent="0.35">
      <c r="A315" t="s">
        <v>11</v>
      </c>
      <c r="B315">
        <v>381</v>
      </c>
      <c r="C315">
        <v>390</v>
      </c>
      <c r="D315">
        <v>385.5</v>
      </c>
      <c r="E315">
        <v>7</v>
      </c>
      <c r="F315">
        <v>15</v>
      </c>
    </row>
    <row r="316" spans="1:6" x14ac:dyDescent="0.35">
      <c r="A316" t="s">
        <v>11</v>
      </c>
      <c r="B316">
        <v>381</v>
      </c>
      <c r="C316">
        <v>390</v>
      </c>
      <c r="D316">
        <v>385.5</v>
      </c>
      <c r="E316">
        <v>8</v>
      </c>
      <c r="F316">
        <v>3</v>
      </c>
    </row>
    <row r="317" spans="1:6" x14ac:dyDescent="0.35">
      <c r="A317" t="s">
        <v>11</v>
      </c>
      <c r="B317">
        <v>381</v>
      </c>
      <c r="C317">
        <v>390</v>
      </c>
      <c r="D317">
        <v>385.5</v>
      </c>
      <c r="E317">
        <v>10</v>
      </c>
      <c r="F317">
        <v>1</v>
      </c>
    </row>
    <row r="318" spans="1:6" x14ac:dyDescent="0.35">
      <c r="A318" t="s">
        <v>11</v>
      </c>
      <c r="B318">
        <v>391</v>
      </c>
      <c r="C318">
        <v>400</v>
      </c>
      <c r="D318">
        <v>395.5</v>
      </c>
      <c r="E318">
        <v>7</v>
      </c>
      <c r="F318">
        <v>9</v>
      </c>
    </row>
    <row r="319" spans="1:6" x14ac:dyDescent="0.35">
      <c r="A319" t="s">
        <v>11</v>
      </c>
      <c r="B319">
        <v>391</v>
      </c>
      <c r="C319">
        <v>400</v>
      </c>
      <c r="D319">
        <v>395.5</v>
      </c>
      <c r="E319">
        <v>8</v>
      </c>
      <c r="F319">
        <v>2</v>
      </c>
    </row>
    <row r="320" spans="1:6" x14ac:dyDescent="0.35">
      <c r="A320" t="s">
        <v>11</v>
      </c>
      <c r="B320">
        <v>401</v>
      </c>
      <c r="C320">
        <v>410</v>
      </c>
      <c r="D320">
        <v>405.5</v>
      </c>
      <c r="E320">
        <v>7</v>
      </c>
      <c r="F320">
        <v>4</v>
      </c>
    </row>
    <row r="321" spans="1:6" x14ac:dyDescent="0.35">
      <c r="A321" t="s">
        <v>11</v>
      </c>
      <c r="B321">
        <v>401</v>
      </c>
      <c r="C321">
        <v>410</v>
      </c>
      <c r="D321">
        <v>405.5</v>
      </c>
      <c r="E321">
        <v>8</v>
      </c>
      <c r="F321">
        <v>2</v>
      </c>
    </row>
    <row r="322" spans="1:6" x14ac:dyDescent="0.35">
      <c r="A322" t="s">
        <v>11</v>
      </c>
      <c r="B322">
        <v>401</v>
      </c>
      <c r="C322">
        <v>410</v>
      </c>
      <c r="D322">
        <v>405.5</v>
      </c>
      <c r="E322">
        <v>9</v>
      </c>
      <c r="F322">
        <v>1</v>
      </c>
    </row>
    <row r="323" spans="1:6" x14ac:dyDescent="0.35">
      <c r="A323" t="s">
        <v>11</v>
      </c>
      <c r="B323">
        <v>411</v>
      </c>
      <c r="C323">
        <v>420</v>
      </c>
      <c r="D323">
        <v>415.5</v>
      </c>
      <c r="E323">
        <v>7</v>
      </c>
      <c r="F323">
        <v>6</v>
      </c>
    </row>
    <row r="324" spans="1:6" x14ac:dyDescent="0.35">
      <c r="A324" t="s">
        <v>11</v>
      </c>
      <c r="B324">
        <v>411</v>
      </c>
      <c r="C324">
        <v>420</v>
      </c>
      <c r="D324">
        <v>415.5</v>
      </c>
      <c r="E324">
        <v>8</v>
      </c>
      <c r="F324">
        <v>2</v>
      </c>
    </row>
    <row r="325" spans="1:6" x14ac:dyDescent="0.35">
      <c r="A325" t="s">
        <v>11</v>
      </c>
      <c r="B325">
        <v>411</v>
      </c>
      <c r="C325">
        <v>420</v>
      </c>
      <c r="D325">
        <v>415.5</v>
      </c>
      <c r="E325">
        <v>10</v>
      </c>
      <c r="F325">
        <v>2</v>
      </c>
    </row>
    <row r="326" spans="1:6" x14ac:dyDescent="0.35">
      <c r="A326" t="s">
        <v>11</v>
      </c>
      <c r="B326">
        <v>421</v>
      </c>
      <c r="C326">
        <v>430</v>
      </c>
      <c r="D326">
        <v>425.5</v>
      </c>
      <c r="E326">
        <v>7</v>
      </c>
      <c r="F326">
        <v>7</v>
      </c>
    </row>
    <row r="327" spans="1:6" x14ac:dyDescent="0.35">
      <c r="A327" t="s">
        <v>11</v>
      </c>
      <c r="B327">
        <v>421</v>
      </c>
      <c r="C327">
        <v>430</v>
      </c>
      <c r="D327">
        <v>425.5</v>
      </c>
      <c r="E327">
        <v>8</v>
      </c>
      <c r="F327">
        <v>3</v>
      </c>
    </row>
    <row r="328" spans="1:6" x14ac:dyDescent="0.35">
      <c r="A328" t="s">
        <v>11</v>
      </c>
      <c r="B328">
        <v>421</v>
      </c>
      <c r="C328">
        <v>430</v>
      </c>
      <c r="D328">
        <v>425.5</v>
      </c>
      <c r="E328">
        <v>11</v>
      </c>
      <c r="F328">
        <v>1</v>
      </c>
    </row>
    <row r="329" spans="1:6" x14ac:dyDescent="0.35">
      <c r="A329" t="s">
        <v>11</v>
      </c>
      <c r="B329">
        <v>431</v>
      </c>
      <c r="C329">
        <v>440</v>
      </c>
      <c r="D329">
        <v>435.5</v>
      </c>
      <c r="E329">
        <v>7</v>
      </c>
      <c r="F329">
        <v>5</v>
      </c>
    </row>
    <row r="330" spans="1:6" x14ac:dyDescent="0.35">
      <c r="A330" t="s">
        <v>11</v>
      </c>
      <c r="B330">
        <v>431</v>
      </c>
      <c r="C330">
        <v>440</v>
      </c>
      <c r="D330">
        <v>435.5</v>
      </c>
      <c r="E330">
        <v>8</v>
      </c>
      <c r="F330">
        <v>4</v>
      </c>
    </row>
    <row r="331" spans="1:6" x14ac:dyDescent="0.35">
      <c r="A331" t="s">
        <v>11</v>
      </c>
      <c r="B331">
        <v>441</v>
      </c>
      <c r="C331">
        <v>450</v>
      </c>
      <c r="D331">
        <v>445.5</v>
      </c>
      <c r="E331">
        <v>7</v>
      </c>
      <c r="F331">
        <v>3</v>
      </c>
    </row>
    <row r="332" spans="1:6" x14ac:dyDescent="0.35">
      <c r="A332" t="s">
        <v>11</v>
      </c>
      <c r="B332">
        <v>441</v>
      </c>
      <c r="C332">
        <v>450</v>
      </c>
      <c r="D332">
        <v>445.5</v>
      </c>
      <c r="E332">
        <v>9</v>
      </c>
      <c r="F332">
        <v>1</v>
      </c>
    </row>
    <row r="333" spans="1:6" x14ac:dyDescent="0.35">
      <c r="A333" t="s">
        <v>11</v>
      </c>
      <c r="B333">
        <v>451</v>
      </c>
      <c r="C333">
        <v>460</v>
      </c>
      <c r="D333">
        <v>455.5</v>
      </c>
      <c r="E333">
        <v>7</v>
      </c>
      <c r="F333">
        <v>7</v>
      </c>
    </row>
    <row r="334" spans="1:6" x14ac:dyDescent="0.35">
      <c r="A334" t="s">
        <v>11</v>
      </c>
      <c r="B334">
        <v>451</v>
      </c>
      <c r="C334">
        <v>460</v>
      </c>
      <c r="D334">
        <v>455.5</v>
      </c>
      <c r="E334">
        <v>8</v>
      </c>
      <c r="F334">
        <v>3</v>
      </c>
    </row>
    <row r="335" spans="1:6" x14ac:dyDescent="0.35">
      <c r="A335" t="s">
        <v>11</v>
      </c>
      <c r="B335">
        <v>451</v>
      </c>
      <c r="C335">
        <v>460</v>
      </c>
      <c r="D335">
        <v>455.5</v>
      </c>
      <c r="E335">
        <v>10</v>
      </c>
      <c r="F335">
        <v>1</v>
      </c>
    </row>
    <row r="336" spans="1:6" x14ac:dyDescent="0.35">
      <c r="A336" t="s">
        <v>11</v>
      </c>
      <c r="B336">
        <v>461</v>
      </c>
      <c r="C336">
        <v>470</v>
      </c>
      <c r="D336">
        <v>465.5</v>
      </c>
      <c r="E336">
        <v>7</v>
      </c>
      <c r="F336">
        <v>3</v>
      </c>
    </row>
    <row r="337" spans="1:6" x14ac:dyDescent="0.35">
      <c r="A337" t="s">
        <v>11</v>
      </c>
      <c r="B337">
        <v>461</v>
      </c>
      <c r="C337">
        <v>470</v>
      </c>
      <c r="D337">
        <v>465.5</v>
      </c>
      <c r="E337">
        <v>8</v>
      </c>
      <c r="F337">
        <v>1</v>
      </c>
    </row>
    <row r="338" spans="1:6" x14ac:dyDescent="0.35">
      <c r="A338" t="s">
        <v>11</v>
      </c>
      <c r="B338">
        <v>471</v>
      </c>
      <c r="C338">
        <v>480</v>
      </c>
      <c r="D338">
        <v>475.5</v>
      </c>
      <c r="E338">
        <v>7</v>
      </c>
      <c r="F338">
        <v>1</v>
      </c>
    </row>
    <row r="339" spans="1:6" x14ac:dyDescent="0.35">
      <c r="A339" t="s">
        <v>11</v>
      </c>
      <c r="B339">
        <v>471</v>
      </c>
      <c r="C339">
        <v>480</v>
      </c>
      <c r="D339">
        <v>475.5</v>
      </c>
      <c r="E339">
        <v>8</v>
      </c>
      <c r="F339">
        <v>1</v>
      </c>
    </row>
    <row r="340" spans="1:6" x14ac:dyDescent="0.35">
      <c r="A340" t="s">
        <v>11</v>
      </c>
      <c r="B340">
        <v>481</v>
      </c>
      <c r="C340">
        <v>490</v>
      </c>
      <c r="D340">
        <v>485.5</v>
      </c>
      <c r="E340">
        <v>7</v>
      </c>
      <c r="F340">
        <v>3</v>
      </c>
    </row>
    <row r="341" spans="1:6" x14ac:dyDescent="0.35">
      <c r="A341" t="s">
        <v>11</v>
      </c>
      <c r="B341">
        <v>501</v>
      </c>
      <c r="C341">
        <v>510</v>
      </c>
      <c r="D341">
        <v>505.5</v>
      </c>
      <c r="E341">
        <v>7</v>
      </c>
      <c r="F341">
        <v>2</v>
      </c>
    </row>
    <row r="342" spans="1:6" x14ac:dyDescent="0.35">
      <c r="A342" t="s">
        <v>11</v>
      </c>
      <c r="B342">
        <v>511</v>
      </c>
      <c r="C342">
        <v>520</v>
      </c>
      <c r="D342">
        <v>515.5</v>
      </c>
      <c r="E342">
        <v>7</v>
      </c>
      <c r="F342">
        <v>1</v>
      </c>
    </row>
    <row r="343" spans="1:6" x14ac:dyDescent="0.35">
      <c r="A343" t="s">
        <v>11</v>
      </c>
      <c r="B343">
        <v>521</v>
      </c>
      <c r="C343">
        <v>530</v>
      </c>
      <c r="D343">
        <v>525.5</v>
      </c>
      <c r="E343">
        <v>7</v>
      </c>
      <c r="F343">
        <v>1</v>
      </c>
    </row>
    <row r="344" spans="1:6" x14ac:dyDescent="0.35">
      <c r="A344" t="s">
        <v>11</v>
      </c>
      <c r="B344">
        <v>521</v>
      </c>
      <c r="C344">
        <v>530</v>
      </c>
      <c r="D344">
        <v>525.5</v>
      </c>
      <c r="E344">
        <v>8</v>
      </c>
      <c r="F344">
        <v>1</v>
      </c>
    </row>
    <row r="345" spans="1:6" x14ac:dyDescent="0.35">
      <c r="A345" t="s">
        <v>11</v>
      </c>
      <c r="B345">
        <v>531</v>
      </c>
      <c r="C345">
        <v>540</v>
      </c>
      <c r="D345">
        <v>535.5</v>
      </c>
      <c r="E345">
        <v>7</v>
      </c>
      <c r="F345">
        <v>1</v>
      </c>
    </row>
    <row r="346" spans="1:6" x14ac:dyDescent="0.35">
      <c r="A346" t="s">
        <v>11</v>
      </c>
      <c r="B346">
        <v>571</v>
      </c>
      <c r="C346">
        <v>580</v>
      </c>
      <c r="D346">
        <v>575.5</v>
      </c>
      <c r="E346">
        <v>8</v>
      </c>
      <c r="F346">
        <v>1</v>
      </c>
    </row>
    <row r="347" spans="1:6" x14ac:dyDescent="0.35">
      <c r="A347" t="s">
        <v>11</v>
      </c>
      <c r="B347">
        <v>601</v>
      </c>
      <c r="C347">
        <v>610</v>
      </c>
      <c r="D347">
        <v>605.5</v>
      </c>
      <c r="E347">
        <v>7</v>
      </c>
      <c r="F347">
        <v>2</v>
      </c>
    </row>
    <row r="348" spans="1:6" x14ac:dyDescent="0.35">
      <c r="A348" t="s">
        <v>12</v>
      </c>
      <c r="B348">
        <v>1</v>
      </c>
      <c r="C348">
        <v>10</v>
      </c>
      <c r="D348">
        <v>5.5</v>
      </c>
      <c r="E348">
        <v>1</v>
      </c>
      <c r="F348">
        <v>10</v>
      </c>
    </row>
    <row r="349" spans="1:6" x14ac:dyDescent="0.35">
      <c r="A349" t="s">
        <v>12</v>
      </c>
      <c r="B349">
        <v>1</v>
      </c>
      <c r="C349">
        <v>10</v>
      </c>
      <c r="D349">
        <v>5.5</v>
      </c>
      <c r="E349">
        <v>2</v>
      </c>
      <c r="F349">
        <v>92</v>
      </c>
    </row>
    <row r="350" spans="1:6" x14ac:dyDescent="0.35">
      <c r="A350" t="s">
        <v>12</v>
      </c>
      <c r="B350">
        <v>1</v>
      </c>
      <c r="C350">
        <v>10</v>
      </c>
      <c r="D350">
        <v>5.5</v>
      </c>
      <c r="E350">
        <v>3</v>
      </c>
      <c r="F350">
        <v>227</v>
      </c>
    </row>
    <row r="351" spans="1:6" x14ac:dyDescent="0.35">
      <c r="A351" t="s">
        <v>12</v>
      </c>
      <c r="B351">
        <v>1</v>
      </c>
      <c r="C351">
        <v>10</v>
      </c>
      <c r="D351">
        <v>5.5</v>
      </c>
      <c r="E351">
        <v>4</v>
      </c>
      <c r="F351">
        <v>401</v>
      </c>
    </row>
    <row r="352" spans="1:6" x14ac:dyDescent="0.35">
      <c r="A352" t="s">
        <v>12</v>
      </c>
      <c r="B352">
        <v>1</v>
      </c>
      <c r="C352">
        <v>10</v>
      </c>
      <c r="D352">
        <v>5.5</v>
      </c>
      <c r="E352">
        <v>5</v>
      </c>
      <c r="F352">
        <v>463</v>
      </c>
    </row>
    <row r="353" spans="1:6" x14ac:dyDescent="0.35">
      <c r="A353" t="s">
        <v>12</v>
      </c>
      <c r="B353">
        <v>1</v>
      </c>
      <c r="C353">
        <v>10</v>
      </c>
      <c r="D353">
        <v>5.5</v>
      </c>
      <c r="E353">
        <v>6</v>
      </c>
      <c r="F353">
        <v>506</v>
      </c>
    </row>
    <row r="354" spans="1:6" x14ac:dyDescent="0.35">
      <c r="A354" t="s">
        <v>12</v>
      </c>
      <c r="B354">
        <v>11</v>
      </c>
      <c r="C354">
        <v>20</v>
      </c>
      <c r="D354">
        <v>15.5</v>
      </c>
      <c r="E354">
        <v>1</v>
      </c>
      <c r="F354">
        <v>19</v>
      </c>
    </row>
    <row r="355" spans="1:6" x14ac:dyDescent="0.35">
      <c r="A355" t="s">
        <v>12</v>
      </c>
      <c r="B355">
        <v>11</v>
      </c>
      <c r="C355">
        <v>20</v>
      </c>
      <c r="D355">
        <v>15.5</v>
      </c>
      <c r="E355">
        <v>2</v>
      </c>
      <c r="F355">
        <v>89</v>
      </c>
    </row>
    <row r="356" spans="1:6" x14ac:dyDescent="0.35">
      <c r="A356" t="s">
        <v>12</v>
      </c>
      <c r="B356">
        <v>11</v>
      </c>
      <c r="C356">
        <v>20</v>
      </c>
      <c r="D356">
        <v>15.5</v>
      </c>
      <c r="E356">
        <v>3</v>
      </c>
      <c r="F356">
        <v>208</v>
      </c>
    </row>
    <row r="357" spans="1:6" x14ac:dyDescent="0.35">
      <c r="A357" t="s">
        <v>12</v>
      </c>
      <c r="B357">
        <v>11</v>
      </c>
      <c r="C357">
        <v>20</v>
      </c>
      <c r="D357">
        <v>15.5</v>
      </c>
      <c r="E357">
        <v>4</v>
      </c>
      <c r="F357">
        <v>353</v>
      </c>
    </row>
    <row r="358" spans="1:6" x14ac:dyDescent="0.35">
      <c r="A358" t="s">
        <v>12</v>
      </c>
      <c r="B358">
        <v>11</v>
      </c>
      <c r="C358">
        <v>20</v>
      </c>
      <c r="D358">
        <v>15.5</v>
      </c>
      <c r="E358">
        <v>5</v>
      </c>
      <c r="F358">
        <v>483</v>
      </c>
    </row>
    <row r="359" spans="1:6" x14ac:dyDescent="0.35">
      <c r="A359" t="s">
        <v>12</v>
      </c>
      <c r="B359">
        <v>11</v>
      </c>
      <c r="C359">
        <v>20</v>
      </c>
      <c r="D359">
        <v>15.5</v>
      </c>
      <c r="E359">
        <v>6</v>
      </c>
      <c r="F359">
        <v>440</v>
      </c>
    </row>
    <row r="360" spans="1:6" x14ac:dyDescent="0.35">
      <c r="A360" t="s">
        <v>12</v>
      </c>
      <c r="B360">
        <v>21</v>
      </c>
      <c r="C360">
        <v>30</v>
      </c>
      <c r="D360">
        <v>25.5</v>
      </c>
      <c r="E360">
        <v>1</v>
      </c>
      <c r="F360">
        <v>17</v>
      </c>
    </row>
    <row r="361" spans="1:6" x14ac:dyDescent="0.35">
      <c r="A361" t="s">
        <v>12</v>
      </c>
      <c r="B361">
        <v>21</v>
      </c>
      <c r="C361">
        <v>30</v>
      </c>
      <c r="D361">
        <v>25.5</v>
      </c>
      <c r="E361">
        <v>2</v>
      </c>
      <c r="F361">
        <v>87</v>
      </c>
    </row>
    <row r="362" spans="1:6" x14ac:dyDescent="0.35">
      <c r="A362" t="s">
        <v>12</v>
      </c>
      <c r="B362">
        <v>21</v>
      </c>
      <c r="C362">
        <v>30</v>
      </c>
      <c r="D362">
        <v>25.5</v>
      </c>
      <c r="E362">
        <v>3</v>
      </c>
      <c r="F362">
        <v>238</v>
      </c>
    </row>
    <row r="363" spans="1:6" x14ac:dyDescent="0.35">
      <c r="A363" t="s">
        <v>12</v>
      </c>
      <c r="B363">
        <v>21</v>
      </c>
      <c r="C363">
        <v>30</v>
      </c>
      <c r="D363">
        <v>25.5</v>
      </c>
      <c r="E363">
        <v>4</v>
      </c>
      <c r="F363">
        <v>360</v>
      </c>
    </row>
    <row r="364" spans="1:6" x14ac:dyDescent="0.35">
      <c r="A364" t="s">
        <v>12</v>
      </c>
      <c r="B364">
        <v>21</v>
      </c>
      <c r="C364">
        <v>30</v>
      </c>
      <c r="D364">
        <v>25.5</v>
      </c>
      <c r="E364">
        <v>5</v>
      </c>
      <c r="F364">
        <v>418</v>
      </c>
    </row>
    <row r="365" spans="1:6" x14ac:dyDescent="0.35">
      <c r="A365" t="s">
        <v>12</v>
      </c>
      <c r="B365">
        <v>21</v>
      </c>
      <c r="C365">
        <v>30</v>
      </c>
      <c r="D365">
        <v>25.5</v>
      </c>
      <c r="E365">
        <v>6</v>
      </c>
      <c r="F365">
        <v>397</v>
      </c>
    </row>
    <row r="366" spans="1:6" x14ac:dyDescent="0.35">
      <c r="A366" t="s">
        <v>12</v>
      </c>
      <c r="B366">
        <v>31</v>
      </c>
      <c r="C366">
        <v>40</v>
      </c>
      <c r="D366">
        <v>35.5</v>
      </c>
      <c r="E366">
        <v>1</v>
      </c>
      <c r="F366">
        <v>23</v>
      </c>
    </row>
    <row r="367" spans="1:6" x14ac:dyDescent="0.35">
      <c r="A367" t="s">
        <v>12</v>
      </c>
      <c r="B367">
        <v>31</v>
      </c>
      <c r="C367">
        <v>40</v>
      </c>
      <c r="D367">
        <v>35.5</v>
      </c>
      <c r="E367">
        <v>2</v>
      </c>
      <c r="F367">
        <v>94</v>
      </c>
    </row>
    <row r="368" spans="1:6" x14ac:dyDescent="0.35">
      <c r="A368" t="s">
        <v>12</v>
      </c>
      <c r="B368">
        <v>31</v>
      </c>
      <c r="C368">
        <v>40</v>
      </c>
      <c r="D368">
        <v>35.5</v>
      </c>
      <c r="E368">
        <v>3</v>
      </c>
      <c r="F368">
        <v>205</v>
      </c>
    </row>
    <row r="369" spans="1:6" x14ac:dyDescent="0.35">
      <c r="A369" t="s">
        <v>12</v>
      </c>
      <c r="B369">
        <v>31</v>
      </c>
      <c r="C369">
        <v>40</v>
      </c>
      <c r="D369">
        <v>35.5</v>
      </c>
      <c r="E369">
        <v>4</v>
      </c>
      <c r="F369">
        <v>382</v>
      </c>
    </row>
    <row r="370" spans="1:6" x14ac:dyDescent="0.35">
      <c r="A370" t="s">
        <v>12</v>
      </c>
      <c r="B370">
        <v>31</v>
      </c>
      <c r="C370">
        <v>40</v>
      </c>
      <c r="D370">
        <v>35.5</v>
      </c>
      <c r="E370">
        <v>5</v>
      </c>
      <c r="F370">
        <v>374</v>
      </c>
    </row>
    <row r="371" spans="1:6" x14ac:dyDescent="0.35">
      <c r="A371" t="s">
        <v>12</v>
      </c>
      <c r="B371">
        <v>31</v>
      </c>
      <c r="C371">
        <v>40</v>
      </c>
      <c r="D371">
        <v>35.5</v>
      </c>
      <c r="E371">
        <v>6</v>
      </c>
      <c r="F371">
        <v>361</v>
      </c>
    </row>
    <row r="372" spans="1:6" x14ac:dyDescent="0.35">
      <c r="A372" t="s">
        <v>12</v>
      </c>
      <c r="B372">
        <v>41</v>
      </c>
      <c r="C372">
        <v>50</v>
      </c>
      <c r="D372">
        <v>45.5</v>
      </c>
      <c r="E372">
        <v>1</v>
      </c>
      <c r="F372">
        <v>14</v>
      </c>
    </row>
    <row r="373" spans="1:6" x14ac:dyDescent="0.35">
      <c r="A373" t="s">
        <v>12</v>
      </c>
      <c r="B373">
        <v>41</v>
      </c>
      <c r="C373">
        <v>50</v>
      </c>
      <c r="D373">
        <v>45.5</v>
      </c>
      <c r="E373">
        <v>2</v>
      </c>
      <c r="F373">
        <v>80</v>
      </c>
    </row>
    <row r="374" spans="1:6" x14ac:dyDescent="0.35">
      <c r="A374" t="s">
        <v>12</v>
      </c>
      <c r="B374">
        <v>41</v>
      </c>
      <c r="C374">
        <v>50</v>
      </c>
      <c r="D374">
        <v>45.5</v>
      </c>
      <c r="E374">
        <v>3</v>
      </c>
      <c r="F374">
        <v>225</v>
      </c>
    </row>
    <row r="375" spans="1:6" x14ac:dyDescent="0.35">
      <c r="A375" t="s">
        <v>12</v>
      </c>
      <c r="B375">
        <v>41</v>
      </c>
      <c r="C375">
        <v>50</v>
      </c>
      <c r="D375">
        <v>45.5</v>
      </c>
      <c r="E375">
        <v>4</v>
      </c>
      <c r="F375">
        <v>314</v>
      </c>
    </row>
    <row r="376" spans="1:6" x14ac:dyDescent="0.35">
      <c r="A376" t="s">
        <v>12</v>
      </c>
      <c r="B376">
        <v>41</v>
      </c>
      <c r="C376">
        <v>50</v>
      </c>
      <c r="D376">
        <v>45.5</v>
      </c>
      <c r="E376">
        <v>5</v>
      </c>
      <c r="F376">
        <v>389</v>
      </c>
    </row>
    <row r="377" spans="1:6" x14ac:dyDescent="0.35">
      <c r="A377" t="s">
        <v>12</v>
      </c>
      <c r="B377">
        <v>41</v>
      </c>
      <c r="C377">
        <v>50</v>
      </c>
      <c r="D377">
        <v>45.5</v>
      </c>
      <c r="E377">
        <v>6</v>
      </c>
      <c r="F377">
        <v>393</v>
      </c>
    </row>
    <row r="378" spans="1:6" x14ac:dyDescent="0.35">
      <c r="A378" t="s">
        <v>12</v>
      </c>
      <c r="B378">
        <v>51</v>
      </c>
      <c r="C378">
        <v>60</v>
      </c>
      <c r="D378">
        <v>55.5</v>
      </c>
      <c r="E378">
        <v>1</v>
      </c>
      <c r="F378">
        <v>24</v>
      </c>
    </row>
    <row r="379" spans="1:6" x14ac:dyDescent="0.35">
      <c r="A379" t="s">
        <v>12</v>
      </c>
      <c r="B379">
        <v>51</v>
      </c>
      <c r="C379">
        <v>60</v>
      </c>
      <c r="D379">
        <v>55.5</v>
      </c>
      <c r="E379">
        <v>2</v>
      </c>
      <c r="F379">
        <v>102</v>
      </c>
    </row>
    <row r="380" spans="1:6" x14ac:dyDescent="0.35">
      <c r="A380" t="s">
        <v>12</v>
      </c>
      <c r="B380">
        <v>51</v>
      </c>
      <c r="C380">
        <v>60</v>
      </c>
      <c r="D380">
        <v>55.5</v>
      </c>
      <c r="E380">
        <v>3</v>
      </c>
      <c r="F380">
        <v>231</v>
      </c>
    </row>
    <row r="381" spans="1:6" x14ac:dyDescent="0.35">
      <c r="A381" t="s">
        <v>12</v>
      </c>
      <c r="B381">
        <v>51</v>
      </c>
      <c r="C381">
        <v>60</v>
      </c>
      <c r="D381">
        <v>55.5</v>
      </c>
      <c r="E381">
        <v>4</v>
      </c>
      <c r="F381">
        <v>303</v>
      </c>
    </row>
    <row r="382" spans="1:6" x14ac:dyDescent="0.35">
      <c r="A382" t="s">
        <v>12</v>
      </c>
      <c r="B382">
        <v>51</v>
      </c>
      <c r="C382">
        <v>60</v>
      </c>
      <c r="D382">
        <v>55.5</v>
      </c>
      <c r="E382">
        <v>5</v>
      </c>
      <c r="F382">
        <v>382</v>
      </c>
    </row>
    <row r="383" spans="1:6" x14ac:dyDescent="0.35">
      <c r="A383" t="s">
        <v>12</v>
      </c>
      <c r="B383">
        <v>51</v>
      </c>
      <c r="C383">
        <v>60</v>
      </c>
      <c r="D383">
        <v>55.5</v>
      </c>
      <c r="E383">
        <v>6</v>
      </c>
      <c r="F383">
        <v>357</v>
      </c>
    </row>
    <row r="384" spans="1:6" x14ac:dyDescent="0.35">
      <c r="A384" t="s">
        <v>12</v>
      </c>
      <c r="B384">
        <v>61</v>
      </c>
      <c r="C384">
        <v>70</v>
      </c>
      <c r="D384">
        <v>65.5</v>
      </c>
      <c r="E384">
        <v>1</v>
      </c>
      <c r="F384">
        <v>17</v>
      </c>
    </row>
    <row r="385" spans="1:6" x14ac:dyDescent="0.35">
      <c r="A385" t="s">
        <v>12</v>
      </c>
      <c r="B385">
        <v>61</v>
      </c>
      <c r="C385">
        <v>70</v>
      </c>
      <c r="D385">
        <v>65.5</v>
      </c>
      <c r="E385">
        <v>2</v>
      </c>
      <c r="F385">
        <v>104</v>
      </c>
    </row>
    <row r="386" spans="1:6" x14ac:dyDescent="0.35">
      <c r="A386" t="s">
        <v>12</v>
      </c>
      <c r="B386">
        <v>61</v>
      </c>
      <c r="C386">
        <v>70</v>
      </c>
      <c r="D386">
        <v>65.5</v>
      </c>
      <c r="E386">
        <v>3</v>
      </c>
      <c r="F386">
        <v>194</v>
      </c>
    </row>
    <row r="387" spans="1:6" x14ac:dyDescent="0.35">
      <c r="A387" t="s">
        <v>12</v>
      </c>
      <c r="B387">
        <v>61</v>
      </c>
      <c r="C387">
        <v>70</v>
      </c>
      <c r="D387">
        <v>65.5</v>
      </c>
      <c r="E387">
        <v>4</v>
      </c>
      <c r="F387">
        <v>269</v>
      </c>
    </row>
    <row r="388" spans="1:6" x14ac:dyDescent="0.35">
      <c r="A388" t="s">
        <v>12</v>
      </c>
      <c r="B388">
        <v>61</v>
      </c>
      <c r="C388">
        <v>70</v>
      </c>
      <c r="D388">
        <v>65.5</v>
      </c>
      <c r="E388">
        <v>5</v>
      </c>
      <c r="F388">
        <v>365</v>
      </c>
    </row>
    <row r="389" spans="1:6" x14ac:dyDescent="0.35">
      <c r="A389" t="s">
        <v>12</v>
      </c>
      <c r="B389">
        <v>61</v>
      </c>
      <c r="C389">
        <v>70</v>
      </c>
      <c r="D389">
        <v>65.5</v>
      </c>
      <c r="E389">
        <v>6</v>
      </c>
      <c r="F389">
        <v>313</v>
      </c>
    </row>
    <row r="390" spans="1:6" x14ac:dyDescent="0.35">
      <c r="A390" t="s">
        <v>12</v>
      </c>
      <c r="B390">
        <v>71</v>
      </c>
      <c r="C390">
        <v>80</v>
      </c>
      <c r="D390">
        <v>75.5</v>
      </c>
      <c r="E390">
        <v>1</v>
      </c>
      <c r="F390">
        <v>21</v>
      </c>
    </row>
    <row r="391" spans="1:6" x14ac:dyDescent="0.35">
      <c r="A391" t="s">
        <v>12</v>
      </c>
      <c r="B391">
        <v>71</v>
      </c>
      <c r="C391">
        <v>80</v>
      </c>
      <c r="D391">
        <v>75.5</v>
      </c>
      <c r="E391">
        <v>2</v>
      </c>
      <c r="F391">
        <v>88</v>
      </c>
    </row>
    <row r="392" spans="1:6" x14ac:dyDescent="0.35">
      <c r="A392" t="s">
        <v>12</v>
      </c>
      <c r="B392">
        <v>71</v>
      </c>
      <c r="C392">
        <v>80</v>
      </c>
      <c r="D392">
        <v>75.5</v>
      </c>
      <c r="E392">
        <v>3</v>
      </c>
      <c r="F392">
        <v>199</v>
      </c>
    </row>
    <row r="393" spans="1:6" x14ac:dyDescent="0.35">
      <c r="A393" t="s">
        <v>12</v>
      </c>
      <c r="B393">
        <v>71</v>
      </c>
      <c r="C393">
        <v>80</v>
      </c>
      <c r="D393">
        <v>75.5</v>
      </c>
      <c r="E393">
        <v>4</v>
      </c>
      <c r="F393">
        <v>295</v>
      </c>
    </row>
    <row r="394" spans="1:6" x14ac:dyDescent="0.35">
      <c r="A394" t="s">
        <v>12</v>
      </c>
      <c r="B394">
        <v>71</v>
      </c>
      <c r="C394">
        <v>80</v>
      </c>
      <c r="D394">
        <v>75.5</v>
      </c>
      <c r="E394">
        <v>5</v>
      </c>
      <c r="F394">
        <v>362</v>
      </c>
    </row>
    <row r="395" spans="1:6" x14ac:dyDescent="0.35">
      <c r="A395" t="s">
        <v>12</v>
      </c>
      <c r="B395">
        <v>71</v>
      </c>
      <c r="C395">
        <v>80</v>
      </c>
      <c r="D395">
        <v>75.5</v>
      </c>
      <c r="E395">
        <v>6</v>
      </c>
      <c r="F395">
        <v>308</v>
      </c>
    </row>
    <row r="396" spans="1:6" x14ac:dyDescent="0.35">
      <c r="A396" t="s">
        <v>12</v>
      </c>
      <c r="B396">
        <v>81</v>
      </c>
      <c r="C396">
        <v>90</v>
      </c>
      <c r="D396">
        <v>85.5</v>
      </c>
      <c r="E396">
        <v>1</v>
      </c>
      <c r="F396">
        <v>13</v>
      </c>
    </row>
    <row r="397" spans="1:6" x14ac:dyDescent="0.35">
      <c r="A397" t="s">
        <v>12</v>
      </c>
      <c r="B397">
        <v>81</v>
      </c>
      <c r="C397">
        <v>90</v>
      </c>
      <c r="D397">
        <v>85.5</v>
      </c>
      <c r="E397">
        <v>2</v>
      </c>
      <c r="F397">
        <v>100</v>
      </c>
    </row>
    <row r="398" spans="1:6" x14ac:dyDescent="0.35">
      <c r="A398" t="s">
        <v>12</v>
      </c>
      <c r="B398">
        <v>81</v>
      </c>
      <c r="C398">
        <v>90</v>
      </c>
      <c r="D398">
        <v>85.5</v>
      </c>
      <c r="E398">
        <v>3</v>
      </c>
      <c r="F398">
        <v>200</v>
      </c>
    </row>
    <row r="399" spans="1:6" x14ac:dyDescent="0.35">
      <c r="A399" t="s">
        <v>12</v>
      </c>
      <c r="B399">
        <v>81</v>
      </c>
      <c r="C399">
        <v>90</v>
      </c>
      <c r="D399">
        <v>85.5</v>
      </c>
      <c r="E399">
        <v>4</v>
      </c>
      <c r="F399">
        <v>265</v>
      </c>
    </row>
    <row r="400" spans="1:6" x14ac:dyDescent="0.35">
      <c r="A400" t="s">
        <v>12</v>
      </c>
      <c r="B400">
        <v>81</v>
      </c>
      <c r="C400">
        <v>90</v>
      </c>
      <c r="D400">
        <v>85.5</v>
      </c>
      <c r="E400">
        <v>5</v>
      </c>
      <c r="F400">
        <v>326</v>
      </c>
    </row>
    <row r="401" spans="1:6" x14ac:dyDescent="0.35">
      <c r="A401" t="s">
        <v>12</v>
      </c>
      <c r="B401">
        <v>81</v>
      </c>
      <c r="C401">
        <v>90</v>
      </c>
      <c r="D401">
        <v>85.5</v>
      </c>
      <c r="E401">
        <v>6</v>
      </c>
      <c r="F401">
        <v>292</v>
      </c>
    </row>
    <row r="402" spans="1:6" x14ac:dyDescent="0.35">
      <c r="A402" t="s">
        <v>13</v>
      </c>
      <c r="B402">
        <v>91</v>
      </c>
      <c r="C402">
        <v>100</v>
      </c>
      <c r="D402">
        <v>95.5</v>
      </c>
      <c r="E402">
        <v>1</v>
      </c>
      <c r="F402">
        <v>12</v>
      </c>
    </row>
    <row r="403" spans="1:6" x14ac:dyDescent="0.35">
      <c r="A403" t="s">
        <v>13</v>
      </c>
      <c r="B403">
        <v>91</v>
      </c>
      <c r="C403">
        <v>100</v>
      </c>
      <c r="D403">
        <v>95.5</v>
      </c>
      <c r="E403">
        <v>2</v>
      </c>
      <c r="F403">
        <v>88</v>
      </c>
    </row>
    <row r="404" spans="1:6" x14ac:dyDescent="0.35">
      <c r="A404" t="s">
        <v>13</v>
      </c>
      <c r="B404">
        <v>91</v>
      </c>
      <c r="C404">
        <v>100</v>
      </c>
      <c r="D404">
        <v>95.5</v>
      </c>
      <c r="E404">
        <v>3</v>
      </c>
      <c r="F404">
        <v>180</v>
      </c>
    </row>
    <row r="405" spans="1:6" x14ac:dyDescent="0.35">
      <c r="A405" t="s">
        <v>13</v>
      </c>
      <c r="B405">
        <v>91</v>
      </c>
      <c r="C405">
        <v>100</v>
      </c>
      <c r="D405">
        <v>95.5</v>
      </c>
      <c r="E405">
        <v>4</v>
      </c>
      <c r="F405">
        <v>262</v>
      </c>
    </row>
    <row r="406" spans="1:6" x14ac:dyDescent="0.35">
      <c r="A406" t="s">
        <v>13</v>
      </c>
      <c r="B406">
        <v>91</v>
      </c>
      <c r="C406">
        <v>100</v>
      </c>
      <c r="D406">
        <v>95.5</v>
      </c>
      <c r="E406">
        <v>5</v>
      </c>
      <c r="F406">
        <v>328</v>
      </c>
    </row>
    <row r="407" spans="1:6" x14ac:dyDescent="0.35">
      <c r="A407" t="s">
        <v>13</v>
      </c>
      <c r="B407">
        <v>91</v>
      </c>
      <c r="C407">
        <v>100</v>
      </c>
      <c r="D407">
        <v>95.5</v>
      </c>
      <c r="E407">
        <v>6</v>
      </c>
      <c r="F407">
        <v>258</v>
      </c>
    </row>
    <row r="408" spans="1:6" x14ac:dyDescent="0.35">
      <c r="A408" t="s">
        <v>13</v>
      </c>
      <c r="B408">
        <v>101</v>
      </c>
      <c r="C408">
        <v>110</v>
      </c>
      <c r="D408">
        <v>105.5</v>
      </c>
      <c r="E408">
        <v>1</v>
      </c>
      <c r="F408">
        <v>12</v>
      </c>
    </row>
    <row r="409" spans="1:6" x14ac:dyDescent="0.35">
      <c r="A409" t="s">
        <v>13</v>
      </c>
      <c r="B409">
        <v>101</v>
      </c>
      <c r="C409">
        <v>110</v>
      </c>
      <c r="D409">
        <v>105.5</v>
      </c>
      <c r="E409">
        <v>2</v>
      </c>
      <c r="F409">
        <v>100</v>
      </c>
    </row>
    <row r="410" spans="1:6" x14ac:dyDescent="0.35">
      <c r="A410" t="s">
        <v>13</v>
      </c>
      <c r="B410">
        <v>101</v>
      </c>
      <c r="C410">
        <v>110</v>
      </c>
      <c r="D410">
        <v>105.5</v>
      </c>
      <c r="E410">
        <v>3</v>
      </c>
      <c r="F410">
        <v>184</v>
      </c>
    </row>
    <row r="411" spans="1:6" x14ac:dyDescent="0.35">
      <c r="A411" t="s">
        <v>13</v>
      </c>
      <c r="B411">
        <v>101</v>
      </c>
      <c r="C411">
        <v>110</v>
      </c>
      <c r="D411">
        <v>105.5</v>
      </c>
      <c r="E411">
        <v>4</v>
      </c>
      <c r="F411">
        <v>266</v>
      </c>
    </row>
    <row r="412" spans="1:6" x14ac:dyDescent="0.35">
      <c r="A412" t="s">
        <v>13</v>
      </c>
      <c r="B412">
        <v>101</v>
      </c>
      <c r="C412">
        <v>110</v>
      </c>
      <c r="D412">
        <v>105.5</v>
      </c>
      <c r="E412">
        <v>5</v>
      </c>
      <c r="F412">
        <v>271</v>
      </c>
    </row>
    <row r="413" spans="1:6" x14ac:dyDescent="0.35">
      <c r="A413" t="s">
        <v>13</v>
      </c>
      <c r="B413">
        <v>101</v>
      </c>
      <c r="C413">
        <v>110</v>
      </c>
      <c r="D413">
        <v>105.5</v>
      </c>
      <c r="E413">
        <v>6</v>
      </c>
      <c r="F413">
        <v>262</v>
      </c>
    </row>
    <row r="414" spans="1:6" x14ac:dyDescent="0.35">
      <c r="A414" t="s">
        <v>13</v>
      </c>
      <c r="B414">
        <v>111</v>
      </c>
      <c r="C414">
        <v>120</v>
      </c>
      <c r="D414">
        <v>115.5</v>
      </c>
      <c r="E414">
        <v>1</v>
      </c>
      <c r="F414">
        <v>15</v>
      </c>
    </row>
    <row r="415" spans="1:6" x14ac:dyDescent="0.35">
      <c r="A415" t="s">
        <v>13</v>
      </c>
      <c r="B415">
        <v>111</v>
      </c>
      <c r="C415">
        <v>120</v>
      </c>
      <c r="D415">
        <v>115.5</v>
      </c>
      <c r="E415">
        <v>2</v>
      </c>
      <c r="F415">
        <v>92</v>
      </c>
    </row>
    <row r="416" spans="1:6" x14ac:dyDescent="0.35">
      <c r="A416" t="s">
        <v>13</v>
      </c>
      <c r="B416">
        <v>111</v>
      </c>
      <c r="C416">
        <v>120</v>
      </c>
      <c r="D416">
        <v>115.5</v>
      </c>
      <c r="E416">
        <v>3</v>
      </c>
      <c r="F416">
        <v>203</v>
      </c>
    </row>
    <row r="417" spans="1:6" x14ac:dyDescent="0.35">
      <c r="A417" t="s">
        <v>13</v>
      </c>
      <c r="B417">
        <v>111</v>
      </c>
      <c r="C417">
        <v>120</v>
      </c>
      <c r="D417">
        <v>115.5</v>
      </c>
      <c r="E417">
        <v>4</v>
      </c>
      <c r="F417">
        <v>242</v>
      </c>
    </row>
    <row r="418" spans="1:6" x14ac:dyDescent="0.35">
      <c r="A418" t="s">
        <v>13</v>
      </c>
      <c r="B418">
        <v>111</v>
      </c>
      <c r="C418">
        <v>120</v>
      </c>
      <c r="D418">
        <v>115.5</v>
      </c>
      <c r="E418">
        <v>5</v>
      </c>
      <c r="F418">
        <v>259</v>
      </c>
    </row>
    <row r="419" spans="1:6" x14ac:dyDescent="0.35">
      <c r="A419" t="s">
        <v>13</v>
      </c>
      <c r="B419">
        <v>111</v>
      </c>
      <c r="C419">
        <v>120</v>
      </c>
      <c r="D419">
        <v>115.5</v>
      </c>
      <c r="E419">
        <v>6</v>
      </c>
      <c r="F419">
        <v>241</v>
      </c>
    </row>
    <row r="420" spans="1:6" x14ac:dyDescent="0.35">
      <c r="A420" t="s">
        <v>13</v>
      </c>
      <c r="B420">
        <v>121</v>
      </c>
      <c r="C420">
        <v>130</v>
      </c>
      <c r="D420">
        <v>125.5</v>
      </c>
      <c r="E420">
        <v>1</v>
      </c>
      <c r="F420">
        <v>19</v>
      </c>
    </row>
    <row r="421" spans="1:6" x14ac:dyDescent="0.35">
      <c r="A421" t="s">
        <v>13</v>
      </c>
      <c r="B421">
        <v>121</v>
      </c>
      <c r="C421">
        <v>130</v>
      </c>
      <c r="D421">
        <v>125.5</v>
      </c>
      <c r="E421">
        <v>2</v>
      </c>
      <c r="F421">
        <v>82</v>
      </c>
    </row>
    <row r="422" spans="1:6" x14ac:dyDescent="0.35">
      <c r="A422" t="s">
        <v>13</v>
      </c>
      <c r="B422">
        <v>121</v>
      </c>
      <c r="C422">
        <v>130</v>
      </c>
      <c r="D422">
        <v>125.5</v>
      </c>
      <c r="E422">
        <v>3</v>
      </c>
      <c r="F422">
        <v>179</v>
      </c>
    </row>
    <row r="423" spans="1:6" x14ac:dyDescent="0.35">
      <c r="A423" t="s">
        <v>13</v>
      </c>
      <c r="B423">
        <v>121</v>
      </c>
      <c r="C423">
        <v>130</v>
      </c>
      <c r="D423">
        <v>125.5</v>
      </c>
      <c r="E423">
        <v>4</v>
      </c>
      <c r="F423">
        <v>227</v>
      </c>
    </row>
    <row r="424" spans="1:6" x14ac:dyDescent="0.35">
      <c r="A424" t="s">
        <v>13</v>
      </c>
      <c r="B424">
        <v>121</v>
      </c>
      <c r="C424">
        <v>130</v>
      </c>
      <c r="D424">
        <v>125.5</v>
      </c>
      <c r="E424">
        <v>5</v>
      </c>
      <c r="F424">
        <v>249</v>
      </c>
    </row>
    <row r="425" spans="1:6" x14ac:dyDescent="0.35">
      <c r="A425" t="s">
        <v>13</v>
      </c>
      <c r="B425">
        <v>121</v>
      </c>
      <c r="C425">
        <v>130</v>
      </c>
      <c r="D425">
        <v>125.5</v>
      </c>
      <c r="E425">
        <v>6</v>
      </c>
      <c r="F425">
        <v>246</v>
      </c>
    </row>
    <row r="426" spans="1:6" x14ac:dyDescent="0.35">
      <c r="A426" t="s">
        <v>13</v>
      </c>
      <c r="B426">
        <v>131</v>
      </c>
      <c r="C426">
        <v>140</v>
      </c>
      <c r="D426">
        <v>135.5</v>
      </c>
      <c r="E426">
        <v>1</v>
      </c>
      <c r="F426">
        <v>15</v>
      </c>
    </row>
    <row r="427" spans="1:6" x14ac:dyDescent="0.35">
      <c r="A427" t="s">
        <v>13</v>
      </c>
      <c r="B427">
        <v>131</v>
      </c>
      <c r="C427">
        <v>140</v>
      </c>
      <c r="D427">
        <v>135.5</v>
      </c>
      <c r="E427">
        <v>2</v>
      </c>
      <c r="F427">
        <v>74</v>
      </c>
    </row>
    <row r="428" spans="1:6" x14ac:dyDescent="0.35">
      <c r="A428" t="s">
        <v>13</v>
      </c>
      <c r="B428">
        <v>131</v>
      </c>
      <c r="C428">
        <v>140</v>
      </c>
      <c r="D428">
        <v>135.5</v>
      </c>
      <c r="E428">
        <v>3</v>
      </c>
      <c r="F428">
        <v>168</v>
      </c>
    </row>
    <row r="429" spans="1:6" x14ac:dyDescent="0.35">
      <c r="A429" t="s">
        <v>13</v>
      </c>
      <c r="B429">
        <v>131</v>
      </c>
      <c r="C429">
        <v>140</v>
      </c>
      <c r="D429">
        <v>135.5</v>
      </c>
      <c r="E429">
        <v>4</v>
      </c>
      <c r="F429">
        <v>230</v>
      </c>
    </row>
    <row r="430" spans="1:6" x14ac:dyDescent="0.35">
      <c r="A430" t="s">
        <v>13</v>
      </c>
      <c r="B430">
        <v>131</v>
      </c>
      <c r="C430">
        <v>140</v>
      </c>
      <c r="D430">
        <v>135.5</v>
      </c>
      <c r="E430">
        <v>5</v>
      </c>
      <c r="F430">
        <v>215</v>
      </c>
    </row>
    <row r="431" spans="1:6" x14ac:dyDescent="0.35">
      <c r="A431" t="s">
        <v>13</v>
      </c>
      <c r="B431">
        <v>131</v>
      </c>
      <c r="C431">
        <v>140</v>
      </c>
      <c r="D431">
        <v>135.5</v>
      </c>
      <c r="E431">
        <v>6</v>
      </c>
      <c r="F431">
        <v>205</v>
      </c>
    </row>
    <row r="432" spans="1:6" x14ac:dyDescent="0.35">
      <c r="A432" t="s">
        <v>13</v>
      </c>
      <c r="B432">
        <v>141</v>
      </c>
      <c r="C432">
        <v>150</v>
      </c>
      <c r="D432">
        <v>145.5</v>
      </c>
      <c r="E432">
        <v>1</v>
      </c>
      <c r="F432">
        <v>18</v>
      </c>
    </row>
    <row r="433" spans="1:6" x14ac:dyDescent="0.35">
      <c r="A433" t="s">
        <v>13</v>
      </c>
      <c r="B433">
        <v>141</v>
      </c>
      <c r="C433">
        <v>150</v>
      </c>
      <c r="D433">
        <v>145.5</v>
      </c>
      <c r="E433">
        <v>2</v>
      </c>
      <c r="F433">
        <v>65</v>
      </c>
    </row>
    <row r="434" spans="1:6" x14ac:dyDescent="0.35">
      <c r="A434" t="s">
        <v>13</v>
      </c>
      <c r="B434">
        <v>141</v>
      </c>
      <c r="C434">
        <v>150</v>
      </c>
      <c r="D434">
        <v>145.5</v>
      </c>
      <c r="E434">
        <v>3</v>
      </c>
      <c r="F434">
        <v>162</v>
      </c>
    </row>
    <row r="435" spans="1:6" x14ac:dyDescent="0.35">
      <c r="A435" t="s">
        <v>13</v>
      </c>
      <c r="B435">
        <v>141</v>
      </c>
      <c r="C435">
        <v>150</v>
      </c>
      <c r="D435">
        <v>145.5</v>
      </c>
      <c r="E435">
        <v>4</v>
      </c>
      <c r="F435">
        <v>215</v>
      </c>
    </row>
    <row r="436" spans="1:6" x14ac:dyDescent="0.35">
      <c r="A436" t="s">
        <v>13</v>
      </c>
      <c r="B436">
        <v>141</v>
      </c>
      <c r="C436">
        <v>150</v>
      </c>
      <c r="D436">
        <v>145.5</v>
      </c>
      <c r="E436">
        <v>5</v>
      </c>
      <c r="F436">
        <v>261</v>
      </c>
    </row>
    <row r="437" spans="1:6" x14ac:dyDescent="0.35">
      <c r="A437" t="s">
        <v>13</v>
      </c>
      <c r="B437">
        <v>141</v>
      </c>
      <c r="C437">
        <v>150</v>
      </c>
      <c r="D437">
        <v>145.5</v>
      </c>
      <c r="E437">
        <v>6</v>
      </c>
      <c r="F437">
        <v>187</v>
      </c>
    </row>
    <row r="438" spans="1:6" x14ac:dyDescent="0.35">
      <c r="A438" t="s">
        <v>13</v>
      </c>
      <c r="B438">
        <v>151</v>
      </c>
      <c r="C438">
        <v>160</v>
      </c>
      <c r="D438">
        <v>155.5</v>
      </c>
      <c r="E438">
        <v>1</v>
      </c>
      <c r="F438">
        <v>18</v>
      </c>
    </row>
    <row r="439" spans="1:6" x14ac:dyDescent="0.35">
      <c r="A439" t="s">
        <v>13</v>
      </c>
      <c r="B439">
        <v>151</v>
      </c>
      <c r="C439">
        <v>160</v>
      </c>
      <c r="D439">
        <v>155.5</v>
      </c>
      <c r="E439">
        <v>2</v>
      </c>
      <c r="F439">
        <v>73</v>
      </c>
    </row>
    <row r="440" spans="1:6" x14ac:dyDescent="0.35">
      <c r="A440" t="s">
        <v>13</v>
      </c>
      <c r="B440">
        <v>151</v>
      </c>
      <c r="C440">
        <v>160</v>
      </c>
      <c r="D440">
        <v>155.5</v>
      </c>
      <c r="E440">
        <v>3</v>
      </c>
      <c r="F440">
        <v>142</v>
      </c>
    </row>
    <row r="441" spans="1:6" x14ac:dyDescent="0.35">
      <c r="A441" t="s">
        <v>13</v>
      </c>
      <c r="B441">
        <v>151</v>
      </c>
      <c r="C441">
        <v>160</v>
      </c>
      <c r="D441">
        <v>155.5</v>
      </c>
      <c r="E441">
        <v>4</v>
      </c>
      <c r="F441">
        <v>204</v>
      </c>
    </row>
    <row r="442" spans="1:6" x14ac:dyDescent="0.35">
      <c r="A442" t="s">
        <v>13</v>
      </c>
      <c r="B442">
        <v>151</v>
      </c>
      <c r="C442">
        <v>160</v>
      </c>
      <c r="D442">
        <v>155.5</v>
      </c>
      <c r="E442">
        <v>5</v>
      </c>
      <c r="F442">
        <v>193</v>
      </c>
    </row>
    <row r="443" spans="1:6" x14ac:dyDescent="0.35">
      <c r="A443" t="s">
        <v>13</v>
      </c>
      <c r="B443">
        <v>151</v>
      </c>
      <c r="C443">
        <v>160</v>
      </c>
      <c r="D443">
        <v>155.5</v>
      </c>
      <c r="E443">
        <v>6</v>
      </c>
      <c r="F443">
        <v>167</v>
      </c>
    </row>
    <row r="444" spans="1:6" x14ac:dyDescent="0.35">
      <c r="A444" t="s">
        <v>13</v>
      </c>
      <c r="B444">
        <v>161</v>
      </c>
      <c r="C444">
        <v>170</v>
      </c>
      <c r="D444">
        <v>165.5</v>
      </c>
      <c r="E444">
        <v>1</v>
      </c>
      <c r="F444">
        <v>12</v>
      </c>
    </row>
    <row r="445" spans="1:6" x14ac:dyDescent="0.35">
      <c r="A445" t="s">
        <v>13</v>
      </c>
      <c r="B445">
        <v>161</v>
      </c>
      <c r="C445">
        <v>170</v>
      </c>
      <c r="D445">
        <v>165.5</v>
      </c>
      <c r="E445">
        <v>2</v>
      </c>
      <c r="F445">
        <v>86</v>
      </c>
    </row>
    <row r="446" spans="1:6" x14ac:dyDescent="0.35">
      <c r="A446" t="s">
        <v>13</v>
      </c>
      <c r="B446">
        <v>161</v>
      </c>
      <c r="C446">
        <v>170</v>
      </c>
      <c r="D446">
        <v>165.5</v>
      </c>
      <c r="E446">
        <v>3</v>
      </c>
      <c r="F446">
        <v>147</v>
      </c>
    </row>
    <row r="447" spans="1:6" x14ac:dyDescent="0.35">
      <c r="A447" t="s">
        <v>13</v>
      </c>
      <c r="B447">
        <v>161</v>
      </c>
      <c r="C447">
        <v>170</v>
      </c>
      <c r="D447">
        <v>165.5</v>
      </c>
      <c r="E447">
        <v>4</v>
      </c>
      <c r="F447">
        <v>197</v>
      </c>
    </row>
    <row r="448" spans="1:6" x14ac:dyDescent="0.35">
      <c r="A448" t="s">
        <v>13</v>
      </c>
      <c r="B448">
        <v>161</v>
      </c>
      <c r="C448">
        <v>170</v>
      </c>
      <c r="D448">
        <v>165.5</v>
      </c>
      <c r="E448">
        <v>5</v>
      </c>
      <c r="F448">
        <v>210</v>
      </c>
    </row>
    <row r="449" spans="1:6" x14ac:dyDescent="0.35">
      <c r="A449" t="s">
        <v>13</v>
      </c>
      <c r="B449">
        <v>161</v>
      </c>
      <c r="C449">
        <v>170</v>
      </c>
      <c r="D449">
        <v>165.5</v>
      </c>
      <c r="E449">
        <v>6</v>
      </c>
      <c r="F449">
        <v>163</v>
      </c>
    </row>
    <row r="450" spans="1:6" x14ac:dyDescent="0.35">
      <c r="A450" t="s">
        <v>13</v>
      </c>
      <c r="B450">
        <v>171</v>
      </c>
      <c r="C450">
        <v>180</v>
      </c>
      <c r="D450">
        <v>175.5</v>
      </c>
      <c r="E450">
        <v>1</v>
      </c>
      <c r="F450">
        <v>20</v>
      </c>
    </row>
    <row r="451" spans="1:6" x14ac:dyDescent="0.35">
      <c r="A451" t="s">
        <v>13</v>
      </c>
      <c r="B451">
        <v>171</v>
      </c>
      <c r="C451">
        <v>180</v>
      </c>
      <c r="D451">
        <v>175.5</v>
      </c>
      <c r="E451">
        <v>2</v>
      </c>
      <c r="F451">
        <v>69</v>
      </c>
    </row>
    <row r="452" spans="1:6" x14ac:dyDescent="0.35">
      <c r="A452" t="s">
        <v>13</v>
      </c>
      <c r="B452">
        <v>171</v>
      </c>
      <c r="C452">
        <v>180</v>
      </c>
      <c r="D452">
        <v>175.5</v>
      </c>
      <c r="E452">
        <v>3</v>
      </c>
      <c r="F452">
        <v>152</v>
      </c>
    </row>
    <row r="453" spans="1:6" x14ac:dyDescent="0.35">
      <c r="A453" t="s">
        <v>13</v>
      </c>
      <c r="B453">
        <v>171</v>
      </c>
      <c r="C453">
        <v>180</v>
      </c>
      <c r="D453">
        <v>175.5</v>
      </c>
      <c r="E453">
        <v>4</v>
      </c>
      <c r="F453">
        <v>170</v>
      </c>
    </row>
    <row r="454" spans="1:6" x14ac:dyDescent="0.35">
      <c r="A454" t="s">
        <v>13</v>
      </c>
      <c r="B454">
        <v>171</v>
      </c>
      <c r="C454">
        <v>180</v>
      </c>
      <c r="D454">
        <v>175.5</v>
      </c>
      <c r="E454">
        <v>5</v>
      </c>
      <c r="F454">
        <v>209</v>
      </c>
    </row>
    <row r="455" spans="1:6" x14ac:dyDescent="0.35">
      <c r="A455" t="s">
        <v>13</v>
      </c>
      <c r="B455">
        <v>171</v>
      </c>
      <c r="C455">
        <v>180</v>
      </c>
      <c r="D455">
        <v>175.5</v>
      </c>
      <c r="E455">
        <v>6</v>
      </c>
      <c r="F455">
        <v>150</v>
      </c>
    </row>
    <row r="456" spans="1:6" x14ac:dyDescent="0.35">
      <c r="A456" t="s">
        <v>13</v>
      </c>
      <c r="B456">
        <v>181</v>
      </c>
      <c r="C456">
        <v>190</v>
      </c>
      <c r="D456">
        <v>185.5</v>
      </c>
      <c r="E456">
        <v>1</v>
      </c>
      <c r="F456">
        <v>23</v>
      </c>
    </row>
    <row r="457" spans="1:6" x14ac:dyDescent="0.35">
      <c r="A457" t="s">
        <v>13</v>
      </c>
      <c r="B457">
        <v>181</v>
      </c>
      <c r="C457">
        <v>190</v>
      </c>
      <c r="D457">
        <v>185.5</v>
      </c>
      <c r="E457">
        <v>2</v>
      </c>
      <c r="F457">
        <v>74</v>
      </c>
    </row>
    <row r="458" spans="1:6" x14ac:dyDescent="0.35">
      <c r="A458" t="s">
        <v>13</v>
      </c>
      <c r="B458">
        <v>181</v>
      </c>
      <c r="C458">
        <v>190</v>
      </c>
      <c r="D458">
        <v>185.5</v>
      </c>
      <c r="E458">
        <v>3</v>
      </c>
      <c r="F458">
        <v>165</v>
      </c>
    </row>
    <row r="459" spans="1:6" x14ac:dyDescent="0.35">
      <c r="A459" t="s">
        <v>13</v>
      </c>
      <c r="B459">
        <v>181</v>
      </c>
      <c r="C459">
        <v>190</v>
      </c>
      <c r="D459">
        <v>185.5</v>
      </c>
      <c r="E459">
        <v>4</v>
      </c>
      <c r="F459">
        <v>180</v>
      </c>
    </row>
    <row r="460" spans="1:6" x14ac:dyDescent="0.35">
      <c r="A460" t="s">
        <v>13</v>
      </c>
      <c r="B460">
        <v>181</v>
      </c>
      <c r="C460">
        <v>190</v>
      </c>
      <c r="D460">
        <v>185.5</v>
      </c>
      <c r="E460">
        <v>5</v>
      </c>
      <c r="F460">
        <v>193</v>
      </c>
    </row>
    <row r="461" spans="1:6" x14ac:dyDescent="0.35">
      <c r="A461" t="s">
        <v>13</v>
      </c>
      <c r="B461">
        <v>181</v>
      </c>
      <c r="C461">
        <v>190</v>
      </c>
      <c r="D461">
        <v>185.5</v>
      </c>
      <c r="E461">
        <v>6</v>
      </c>
      <c r="F461">
        <v>132</v>
      </c>
    </row>
    <row r="462" spans="1:6" x14ac:dyDescent="0.35">
      <c r="A462" t="s">
        <v>13</v>
      </c>
      <c r="B462">
        <v>191</v>
      </c>
      <c r="C462">
        <v>200</v>
      </c>
      <c r="D462">
        <v>195.5</v>
      </c>
      <c r="E462">
        <v>1</v>
      </c>
      <c r="F462">
        <v>27</v>
      </c>
    </row>
    <row r="463" spans="1:6" x14ac:dyDescent="0.35">
      <c r="A463" t="s">
        <v>13</v>
      </c>
      <c r="B463">
        <v>191</v>
      </c>
      <c r="C463">
        <v>200</v>
      </c>
      <c r="D463">
        <v>195.5</v>
      </c>
      <c r="E463">
        <v>2</v>
      </c>
      <c r="F463">
        <v>75</v>
      </c>
    </row>
    <row r="464" spans="1:6" x14ac:dyDescent="0.35">
      <c r="A464" t="s">
        <v>13</v>
      </c>
      <c r="B464">
        <v>191</v>
      </c>
      <c r="C464">
        <v>200</v>
      </c>
      <c r="D464">
        <v>195.5</v>
      </c>
      <c r="E464">
        <v>3</v>
      </c>
      <c r="F464">
        <v>128</v>
      </c>
    </row>
    <row r="465" spans="1:6" x14ac:dyDescent="0.35">
      <c r="A465" t="s">
        <v>13</v>
      </c>
      <c r="B465">
        <v>191</v>
      </c>
      <c r="C465">
        <v>200</v>
      </c>
      <c r="D465">
        <v>195.5</v>
      </c>
      <c r="E465">
        <v>4</v>
      </c>
      <c r="F465">
        <v>190</v>
      </c>
    </row>
    <row r="466" spans="1:6" x14ac:dyDescent="0.35">
      <c r="A466" t="s">
        <v>13</v>
      </c>
      <c r="B466">
        <v>191</v>
      </c>
      <c r="C466">
        <v>200</v>
      </c>
      <c r="D466">
        <v>195.5</v>
      </c>
      <c r="E466">
        <v>5</v>
      </c>
      <c r="F466">
        <v>165</v>
      </c>
    </row>
    <row r="467" spans="1:6" x14ac:dyDescent="0.35">
      <c r="A467" t="s">
        <v>13</v>
      </c>
      <c r="B467">
        <v>191</v>
      </c>
      <c r="C467">
        <v>200</v>
      </c>
      <c r="D467">
        <v>195.5</v>
      </c>
      <c r="E467">
        <v>6</v>
      </c>
      <c r="F467">
        <v>124</v>
      </c>
    </row>
    <row r="468" spans="1:6" x14ac:dyDescent="0.35">
      <c r="A468" t="s">
        <v>13</v>
      </c>
      <c r="B468">
        <v>201</v>
      </c>
      <c r="C468">
        <v>210</v>
      </c>
      <c r="D468">
        <v>205.5</v>
      </c>
      <c r="E468">
        <v>1</v>
      </c>
      <c r="F468">
        <v>11</v>
      </c>
    </row>
    <row r="469" spans="1:6" x14ac:dyDescent="0.35">
      <c r="A469" t="s">
        <v>13</v>
      </c>
      <c r="B469">
        <v>201</v>
      </c>
      <c r="C469">
        <v>210</v>
      </c>
      <c r="D469">
        <v>205.5</v>
      </c>
      <c r="E469">
        <v>2</v>
      </c>
      <c r="F469">
        <v>65</v>
      </c>
    </row>
    <row r="470" spans="1:6" x14ac:dyDescent="0.35">
      <c r="A470" t="s">
        <v>13</v>
      </c>
      <c r="B470">
        <v>201</v>
      </c>
      <c r="C470">
        <v>210</v>
      </c>
      <c r="D470">
        <v>205.5</v>
      </c>
      <c r="E470">
        <v>3</v>
      </c>
      <c r="F470">
        <v>138</v>
      </c>
    </row>
    <row r="471" spans="1:6" x14ac:dyDescent="0.35">
      <c r="A471" t="s">
        <v>13</v>
      </c>
      <c r="B471">
        <v>201</v>
      </c>
      <c r="C471">
        <v>210</v>
      </c>
      <c r="D471">
        <v>205.5</v>
      </c>
      <c r="E471">
        <v>4</v>
      </c>
      <c r="F471">
        <v>180</v>
      </c>
    </row>
    <row r="472" spans="1:6" x14ac:dyDescent="0.35">
      <c r="A472" t="s">
        <v>13</v>
      </c>
      <c r="B472">
        <v>201</v>
      </c>
      <c r="C472">
        <v>210</v>
      </c>
      <c r="D472">
        <v>205.5</v>
      </c>
      <c r="E472">
        <v>5</v>
      </c>
      <c r="F472">
        <v>145</v>
      </c>
    </row>
    <row r="473" spans="1:6" x14ac:dyDescent="0.35">
      <c r="A473" t="s">
        <v>13</v>
      </c>
      <c r="B473">
        <v>201</v>
      </c>
      <c r="C473">
        <v>210</v>
      </c>
      <c r="D473">
        <v>205.5</v>
      </c>
      <c r="E473">
        <v>6</v>
      </c>
      <c r="F473">
        <v>115</v>
      </c>
    </row>
    <row r="474" spans="1:6" x14ac:dyDescent="0.35">
      <c r="A474" t="s">
        <v>13</v>
      </c>
      <c r="B474">
        <v>211</v>
      </c>
      <c r="C474">
        <v>220</v>
      </c>
      <c r="D474">
        <v>215.5</v>
      </c>
      <c r="E474">
        <v>1</v>
      </c>
      <c r="F474">
        <v>21</v>
      </c>
    </row>
    <row r="475" spans="1:6" x14ac:dyDescent="0.35">
      <c r="A475" t="s">
        <v>13</v>
      </c>
      <c r="B475">
        <v>211</v>
      </c>
      <c r="C475">
        <v>220</v>
      </c>
      <c r="D475">
        <v>215.5</v>
      </c>
      <c r="E475">
        <v>2</v>
      </c>
      <c r="F475">
        <v>76</v>
      </c>
    </row>
    <row r="476" spans="1:6" x14ac:dyDescent="0.35">
      <c r="A476" t="s">
        <v>13</v>
      </c>
      <c r="B476">
        <v>211</v>
      </c>
      <c r="C476">
        <v>220</v>
      </c>
      <c r="D476">
        <v>215.5</v>
      </c>
      <c r="E476">
        <v>3</v>
      </c>
      <c r="F476">
        <v>124</v>
      </c>
    </row>
    <row r="477" spans="1:6" x14ac:dyDescent="0.35">
      <c r="A477" t="s">
        <v>13</v>
      </c>
      <c r="B477">
        <v>211</v>
      </c>
      <c r="C477">
        <v>220</v>
      </c>
      <c r="D477">
        <v>215.5</v>
      </c>
      <c r="E477">
        <v>4</v>
      </c>
      <c r="F477">
        <v>147</v>
      </c>
    </row>
    <row r="478" spans="1:6" x14ac:dyDescent="0.35">
      <c r="A478" t="s">
        <v>13</v>
      </c>
      <c r="B478">
        <v>211</v>
      </c>
      <c r="C478">
        <v>220</v>
      </c>
      <c r="D478">
        <v>215.5</v>
      </c>
      <c r="E478">
        <v>5</v>
      </c>
      <c r="F478">
        <v>166</v>
      </c>
    </row>
    <row r="479" spans="1:6" x14ac:dyDescent="0.35">
      <c r="A479" t="s">
        <v>13</v>
      </c>
      <c r="B479">
        <v>211</v>
      </c>
      <c r="C479">
        <v>220</v>
      </c>
      <c r="D479">
        <v>215.5</v>
      </c>
      <c r="E479">
        <v>6</v>
      </c>
      <c r="F479">
        <v>104</v>
      </c>
    </row>
    <row r="480" spans="1:6" x14ac:dyDescent="0.35">
      <c r="A480" t="s">
        <v>13</v>
      </c>
      <c r="B480">
        <v>221</v>
      </c>
      <c r="C480">
        <v>230</v>
      </c>
      <c r="D480">
        <v>225.5</v>
      </c>
      <c r="E480">
        <v>1</v>
      </c>
      <c r="F480">
        <v>15</v>
      </c>
    </row>
    <row r="481" spans="1:6" x14ac:dyDescent="0.35">
      <c r="A481" t="s">
        <v>13</v>
      </c>
      <c r="B481">
        <v>221</v>
      </c>
      <c r="C481">
        <v>230</v>
      </c>
      <c r="D481">
        <v>225.5</v>
      </c>
      <c r="E481">
        <v>2</v>
      </c>
      <c r="F481">
        <v>65</v>
      </c>
    </row>
    <row r="482" spans="1:6" x14ac:dyDescent="0.35">
      <c r="A482" t="s">
        <v>13</v>
      </c>
      <c r="B482">
        <v>221</v>
      </c>
      <c r="C482">
        <v>230</v>
      </c>
      <c r="D482">
        <v>225.5</v>
      </c>
      <c r="E482">
        <v>3</v>
      </c>
      <c r="F482">
        <v>109</v>
      </c>
    </row>
    <row r="483" spans="1:6" x14ac:dyDescent="0.35">
      <c r="A483" t="s">
        <v>13</v>
      </c>
      <c r="B483">
        <v>221</v>
      </c>
      <c r="C483">
        <v>230</v>
      </c>
      <c r="D483">
        <v>225.5</v>
      </c>
      <c r="E483">
        <v>4</v>
      </c>
      <c r="F483">
        <v>155</v>
      </c>
    </row>
    <row r="484" spans="1:6" x14ac:dyDescent="0.35">
      <c r="A484" t="s">
        <v>13</v>
      </c>
      <c r="B484">
        <v>221</v>
      </c>
      <c r="C484">
        <v>230</v>
      </c>
      <c r="D484">
        <v>225.5</v>
      </c>
      <c r="E484">
        <v>5</v>
      </c>
      <c r="F484">
        <v>167</v>
      </c>
    </row>
    <row r="485" spans="1:6" x14ac:dyDescent="0.35">
      <c r="A485" t="s">
        <v>13</v>
      </c>
      <c r="B485">
        <v>221</v>
      </c>
      <c r="C485">
        <v>230</v>
      </c>
      <c r="D485">
        <v>225.5</v>
      </c>
      <c r="E485">
        <v>6</v>
      </c>
      <c r="F485">
        <v>112</v>
      </c>
    </row>
    <row r="486" spans="1:6" x14ac:dyDescent="0.35">
      <c r="A486" t="s">
        <v>13</v>
      </c>
      <c r="B486">
        <v>231</v>
      </c>
      <c r="C486">
        <v>240</v>
      </c>
      <c r="D486">
        <v>235.5</v>
      </c>
      <c r="E486">
        <v>1</v>
      </c>
      <c r="F486">
        <v>27</v>
      </c>
    </row>
    <row r="487" spans="1:6" x14ac:dyDescent="0.35">
      <c r="A487" t="s">
        <v>13</v>
      </c>
      <c r="B487">
        <v>231</v>
      </c>
      <c r="C487">
        <v>240</v>
      </c>
      <c r="D487">
        <v>235.5</v>
      </c>
      <c r="E487">
        <v>2</v>
      </c>
      <c r="F487">
        <v>61</v>
      </c>
    </row>
    <row r="488" spans="1:6" x14ac:dyDescent="0.35">
      <c r="A488" t="s">
        <v>13</v>
      </c>
      <c r="B488">
        <v>231</v>
      </c>
      <c r="C488">
        <v>240</v>
      </c>
      <c r="D488">
        <v>235.5</v>
      </c>
      <c r="E488">
        <v>3</v>
      </c>
      <c r="F488">
        <v>126</v>
      </c>
    </row>
    <row r="489" spans="1:6" x14ac:dyDescent="0.35">
      <c r="A489" t="s">
        <v>13</v>
      </c>
      <c r="B489">
        <v>231</v>
      </c>
      <c r="C489">
        <v>240</v>
      </c>
      <c r="D489">
        <v>235.5</v>
      </c>
      <c r="E489">
        <v>4</v>
      </c>
      <c r="F489">
        <v>160</v>
      </c>
    </row>
    <row r="490" spans="1:6" x14ac:dyDescent="0.35">
      <c r="A490" t="s">
        <v>13</v>
      </c>
      <c r="B490">
        <v>231</v>
      </c>
      <c r="C490">
        <v>240</v>
      </c>
      <c r="D490">
        <v>235.5</v>
      </c>
      <c r="E490">
        <v>5</v>
      </c>
      <c r="F490">
        <v>145</v>
      </c>
    </row>
    <row r="491" spans="1:6" x14ac:dyDescent="0.35">
      <c r="A491" t="s">
        <v>13</v>
      </c>
      <c r="B491">
        <v>231</v>
      </c>
      <c r="C491">
        <v>240</v>
      </c>
      <c r="D491">
        <v>235.5</v>
      </c>
      <c r="E491">
        <v>6</v>
      </c>
      <c r="F491">
        <v>90</v>
      </c>
    </row>
    <row r="492" spans="1:6" x14ac:dyDescent="0.35">
      <c r="A492" t="s">
        <v>13</v>
      </c>
      <c r="B492">
        <v>241</v>
      </c>
      <c r="C492">
        <v>250</v>
      </c>
      <c r="D492">
        <v>245.5</v>
      </c>
      <c r="E492">
        <v>1</v>
      </c>
      <c r="F492">
        <v>21</v>
      </c>
    </row>
    <row r="493" spans="1:6" x14ac:dyDescent="0.35">
      <c r="A493" t="s">
        <v>13</v>
      </c>
      <c r="B493">
        <v>241</v>
      </c>
      <c r="C493">
        <v>250</v>
      </c>
      <c r="D493">
        <v>245.5</v>
      </c>
      <c r="E493">
        <v>2</v>
      </c>
      <c r="F493">
        <v>71</v>
      </c>
    </row>
    <row r="494" spans="1:6" x14ac:dyDescent="0.35">
      <c r="A494" t="s">
        <v>13</v>
      </c>
      <c r="B494">
        <v>241</v>
      </c>
      <c r="C494">
        <v>250</v>
      </c>
      <c r="D494">
        <v>245.5</v>
      </c>
      <c r="E494">
        <v>3</v>
      </c>
      <c r="F494">
        <v>115</v>
      </c>
    </row>
    <row r="495" spans="1:6" x14ac:dyDescent="0.35">
      <c r="A495" t="s">
        <v>13</v>
      </c>
      <c r="B495">
        <v>241</v>
      </c>
      <c r="C495">
        <v>250</v>
      </c>
      <c r="D495">
        <v>245.5</v>
      </c>
      <c r="E495">
        <v>4</v>
      </c>
      <c r="F495">
        <v>122</v>
      </c>
    </row>
    <row r="496" spans="1:6" x14ac:dyDescent="0.35">
      <c r="A496" t="s">
        <v>13</v>
      </c>
      <c r="B496">
        <v>241</v>
      </c>
      <c r="C496">
        <v>250</v>
      </c>
      <c r="D496">
        <v>245.5</v>
      </c>
      <c r="E496">
        <v>5</v>
      </c>
      <c r="F496">
        <v>130</v>
      </c>
    </row>
    <row r="497" spans="1:6" x14ac:dyDescent="0.35">
      <c r="A497" t="s">
        <v>13</v>
      </c>
      <c r="B497">
        <v>241</v>
      </c>
      <c r="C497">
        <v>250</v>
      </c>
      <c r="D497">
        <v>245.5</v>
      </c>
      <c r="E497">
        <v>6</v>
      </c>
      <c r="F497">
        <v>92</v>
      </c>
    </row>
    <row r="498" spans="1:6" x14ac:dyDescent="0.35">
      <c r="A498" t="s">
        <v>13</v>
      </c>
      <c r="B498">
        <v>251</v>
      </c>
      <c r="C498">
        <v>260</v>
      </c>
      <c r="D498">
        <v>255.5</v>
      </c>
      <c r="E498">
        <v>1</v>
      </c>
      <c r="F498">
        <v>13</v>
      </c>
    </row>
    <row r="499" spans="1:6" x14ac:dyDescent="0.35">
      <c r="A499" t="s">
        <v>13</v>
      </c>
      <c r="B499">
        <v>251</v>
      </c>
      <c r="C499">
        <v>260</v>
      </c>
      <c r="D499">
        <v>255.5</v>
      </c>
      <c r="E499">
        <v>2</v>
      </c>
      <c r="F499">
        <v>61</v>
      </c>
    </row>
    <row r="500" spans="1:6" x14ac:dyDescent="0.35">
      <c r="A500" t="s">
        <v>13</v>
      </c>
      <c r="B500">
        <v>251</v>
      </c>
      <c r="C500">
        <v>260</v>
      </c>
      <c r="D500">
        <v>255.5</v>
      </c>
      <c r="E500">
        <v>3</v>
      </c>
      <c r="F500">
        <v>104</v>
      </c>
    </row>
    <row r="501" spans="1:6" x14ac:dyDescent="0.35">
      <c r="A501" t="s">
        <v>13</v>
      </c>
      <c r="B501">
        <v>251</v>
      </c>
      <c r="C501">
        <v>260</v>
      </c>
      <c r="D501">
        <v>255.5</v>
      </c>
      <c r="E501">
        <v>4</v>
      </c>
      <c r="F501">
        <v>143</v>
      </c>
    </row>
    <row r="502" spans="1:6" x14ac:dyDescent="0.35">
      <c r="A502" t="s">
        <v>13</v>
      </c>
      <c r="B502">
        <v>251</v>
      </c>
      <c r="C502">
        <v>260</v>
      </c>
      <c r="D502">
        <v>255.5</v>
      </c>
      <c r="E502">
        <v>5</v>
      </c>
      <c r="F502">
        <v>134</v>
      </c>
    </row>
    <row r="503" spans="1:6" x14ac:dyDescent="0.35">
      <c r="A503" t="s">
        <v>13</v>
      </c>
      <c r="B503">
        <v>251</v>
      </c>
      <c r="C503">
        <v>260</v>
      </c>
      <c r="D503">
        <v>255.5</v>
      </c>
      <c r="E503">
        <v>6</v>
      </c>
      <c r="F503">
        <v>67</v>
      </c>
    </row>
    <row r="504" spans="1:6" x14ac:dyDescent="0.35">
      <c r="A504" t="s">
        <v>13</v>
      </c>
      <c r="B504">
        <v>261</v>
      </c>
      <c r="C504">
        <v>270</v>
      </c>
      <c r="D504">
        <v>265.5</v>
      </c>
      <c r="E504">
        <v>1</v>
      </c>
      <c r="F504">
        <v>13</v>
      </c>
    </row>
    <row r="505" spans="1:6" x14ac:dyDescent="0.35">
      <c r="A505" t="s">
        <v>13</v>
      </c>
      <c r="B505">
        <v>261</v>
      </c>
      <c r="C505">
        <v>270</v>
      </c>
      <c r="D505">
        <v>265.5</v>
      </c>
      <c r="E505">
        <v>2</v>
      </c>
      <c r="F505">
        <v>66</v>
      </c>
    </row>
    <row r="506" spans="1:6" x14ac:dyDescent="0.35">
      <c r="A506" t="s">
        <v>13</v>
      </c>
      <c r="B506">
        <v>261</v>
      </c>
      <c r="C506">
        <v>270</v>
      </c>
      <c r="D506">
        <v>265.5</v>
      </c>
      <c r="E506">
        <v>3</v>
      </c>
      <c r="F506">
        <v>104</v>
      </c>
    </row>
    <row r="507" spans="1:6" x14ac:dyDescent="0.35">
      <c r="A507" t="s">
        <v>13</v>
      </c>
      <c r="B507">
        <v>261</v>
      </c>
      <c r="C507">
        <v>270</v>
      </c>
      <c r="D507">
        <v>265.5</v>
      </c>
      <c r="E507">
        <v>4</v>
      </c>
      <c r="F507">
        <v>135</v>
      </c>
    </row>
    <row r="508" spans="1:6" x14ac:dyDescent="0.35">
      <c r="A508" t="s">
        <v>13</v>
      </c>
      <c r="B508">
        <v>261</v>
      </c>
      <c r="C508">
        <v>270</v>
      </c>
      <c r="D508">
        <v>265.5</v>
      </c>
      <c r="E508">
        <v>5</v>
      </c>
      <c r="F508">
        <v>103</v>
      </c>
    </row>
    <row r="509" spans="1:6" x14ac:dyDescent="0.35">
      <c r="A509" t="s">
        <v>13</v>
      </c>
      <c r="B509">
        <v>261</v>
      </c>
      <c r="C509">
        <v>270</v>
      </c>
      <c r="D509">
        <v>265.5</v>
      </c>
      <c r="E509">
        <v>6</v>
      </c>
      <c r="F509">
        <v>84</v>
      </c>
    </row>
    <row r="510" spans="1:6" x14ac:dyDescent="0.35">
      <c r="A510" t="s">
        <v>13</v>
      </c>
      <c r="B510">
        <v>271</v>
      </c>
      <c r="C510">
        <v>280</v>
      </c>
      <c r="D510">
        <v>275.5</v>
      </c>
      <c r="E510">
        <v>1</v>
      </c>
      <c r="F510">
        <v>21</v>
      </c>
    </row>
    <row r="511" spans="1:6" x14ac:dyDescent="0.35">
      <c r="A511" t="s">
        <v>13</v>
      </c>
      <c r="B511">
        <v>271</v>
      </c>
      <c r="C511">
        <v>280</v>
      </c>
      <c r="D511">
        <v>275.5</v>
      </c>
      <c r="E511">
        <v>2</v>
      </c>
      <c r="F511">
        <v>59</v>
      </c>
    </row>
    <row r="512" spans="1:6" x14ac:dyDescent="0.35">
      <c r="A512" t="s">
        <v>13</v>
      </c>
      <c r="B512">
        <v>271</v>
      </c>
      <c r="C512">
        <v>280</v>
      </c>
      <c r="D512">
        <v>275.5</v>
      </c>
      <c r="E512">
        <v>3</v>
      </c>
      <c r="F512">
        <v>111</v>
      </c>
    </row>
    <row r="513" spans="1:6" x14ac:dyDescent="0.35">
      <c r="A513" t="s">
        <v>13</v>
      </c>
      <c r="B513">
        <v>271</v>
      </c>
      <c r="C513">
        <v>280</v>
      </c>
      <c r="D513">
        <v>275.5</v>
      </c>
      <c r="E513">
        <v>4</v>
      </c>
      <c r="F513">
        <v>114</v>
      </c>
    </row>
    <row r="514" spans="1:6" x14ac:dyDescent="0.35">
      <c r="A514" t="s">
        <v>13</v>
      </c>
      <c r="B514">
        <v>271</v>
      </c>
      <c r="C514">
        <v>280</v>
      </c>
      <c r="D514">
        <v>275.5</v>
      </c>
      <c r="E514">
        <v>5</v>
      </c>
      <c r="F514">
        <v>100</v>
      </c>
    </row>
    <row r="515" spans="1:6" x14ac:dyDescent="0.35">
      <c r="A515" t="s">
        <v>13</v>
      </c>
      <c r="B515">
        <v>271</v>
      </c>
      <c r="C515">
        <v>280</v>
      </c>
      <c r="D515">
        <v>275.5</v>
      </c>
      <c r="E515">
        <v>6</v>
      </c>
      <c r="F515">
        <v>71</v>
      </c>
    </row>
    <row r="516" spans="1:6" x14ac:dyDescent="0.35">
      <c r="A516" t="s">
        <v>13</v>
      </c>
      <c r="B516">
        <v>281</v>
      </c>
      <c r="C516">
        <v>290</v>
      </c>
      <c r="D516">
        <v>285.5</v>
      </c>
      <c r="E516">
        <v>1</v>
      </c>
      <c r="F516">
        <v>25</v>
      </c>
    </row>
    <row r="517" spans="1:6" x14ac:dyDescent="0.35">
      <c r="A517" t="s">
        <v>13</v>
      </c>
      <c r="B517">
        <v>281</v>
      </c>
      <c r="C517">
        <v>290</v>
      </c>
      <c r="D517">
        <v>285.5</v>
      </c>
      <c r="E517">
        <v>2</v>
      </c>
      <c r="F517">
        <v>50</v>
      </c>
    </row>
    <row r="518" spans="1:6" x14ac:dyDescent="0.35">
      <c r="A518" t="s">
        <v>13</v>
      </c>
      <c r="B518">
        <v>281</v>
      </c>
      <c r="C518">
        <v>290</v>
      </c>
      <c r="D518">
        <v>285.5</v>
      </c>
      <c r="E518">
        <v>3</v>
      </c>
      <c r="F518">
        <v>110</v>
      </c>
    </row>
    <row r="519" spans="1:6" x14ac:dyDescent="0.35">
      <c r="A519" t="s">
        <v>13</v>
      </c>
      <c r="B519">
        <v>281</v>
      </c>
      <c r="C519">
        <v>290</v>
      </c>
      <c r="D519">
        <v>285.5</v>
      </c>
      <c r="E519">
        <v>4</v>
      </c>
      <c r="F519">
        <v>132</v>
      </c>
    </row>
    <row r="520" spans="1:6" x14ac:dyDescent="0.35">
      <c r="A520" t="s">
        <v>13</v>
      </c>
      <c r="B520">
        <v>281</v>
      </c>
      <c r="C520">
        <v>290</v>
      </c>
      <c r="D520">
        <v>285.5</v>
      </c>
      <c r="E520">
        <v>5</v>
      </c>
      <c r="F520">
        <v>79</v>
      </c>
    </row>
    <row r="521" spans="1:6" x14ac:dyDescent="0.35">
      <c r="A521" t="s">
        <v>13</v>
      </c>
      <c r="B521">
        <v>281</v>
      </c>
      <c r="C521">
        <v>290</v>
      </c>
      <c r="D521">
        <v>285.5</v>
      </c>
      <c r="E521">
        <v>6</v>
      </c>
      <c r="F521">
        <v>54</v>
      </c>
    </row>
    <row r="522" spans="1:6" x14ac:dyDescent="0.35">
      <c r="A522" t="s">
        <v>13</v>
      </c>
      <c r="B522">
        <v>291</v>
      </c>
      <c r="C522">
        <v>300</v>
      </c>
      <c r="D522">
        <v>295.5</v>
      </c>
      <c r="E522">
        <v>1</v>
      </c>
      <c r="F522">
        <v>22</v>
      </c>
    </row>
    <row r="523" spans="1:6" x14ac:dyDescent="0.35">
      <c r="A523" t="s">
        <v>13</v>
      </c>
      <c r="B523">
        <v>291</v>
      </c>
      <c r="C523">
        <v>300</v>
      </c>
      <c r="D523">
        <v>295.5</v>
      </c>
      <c r="E523">
        <v>2</v>
      </c>
      <c r="F523">
        <v>64</v>
      </c>
    </row>
    <row r="524" spans="1:6" x14ac:dyDescent="0.35">
      <c r="A524" t="s">
        <v>13</v>
      </c>
      <c r="B524">
        <v>291</v>
      </c>
      <c r="C524">
        <v>300</v>
      </c>
      <c r="D524">
        <v>295.5</v>
      </c>
      <c r="E524">
        <v>3</v>
      </c>
      <c r="F524">
        <v>104</v>
      </c>
    </row>
    <row r="525" spans="1:6" x14ac:dyDescent="0.35">
      <c r="A525" t="s">
        <v>13</v>
      </c>
      <c r="B525">
        <v>291</v>
      </c>
      <c r="C525">
        <v>300</v>
      </c>
      <c r="D525">
        <v>295.5</v>
      </c>
      <c r="E525">
        <v>4</v>
      </c>
      <c r="F525">
        <v>109</v>
      </c>
    </row>
    <row r="526" spans="1:6" x14ac:dyDescent="0.35">
      <c r="A526" t="s">
        <v>13</v>
      </c>
      <c r="B526">
        <v>291</v>
      </c>
      <c r="C526">
        <v>300</v>
      </c>
      <c r="D526">
        <v>295.5</v>
      </c>
      <c r="E526">
        <v>5</v>
      </c>
      <c r="F526">
        <v>82</v>
      </c>
    </row>
    <row r="527" spans="1:6" x14ac:dyDescent="0.35">
      <c r="A527" t="s">
        <v>13</v>
      </c>
      <c r="B527">
        <v>291</v>
      </c>
      <c r="C527">
        <v>300</v>
      </c>
      <c r="D527">
        <v>295.5</v>
      </c>
      <c r="E527">
        <v>6</v>
      </c>
      <c r="F527">
        <v>64</v>
      </c>
    </row>
    <row r="528" spans="1:6" x14ac:dyDescent="0.35">
      <c r="A528" t="s">
        <v>13</v>
      </c>
      <c r="B528">
        <v>301</v>
      </c>
      <c r="C528">
        <v>310</v>
      </c>
      <c r="D528">
        <v>305.5</v>
      </c>
      <c r="E528">
        <v>1</v>
      </c>
      <c r="F528">
        <v>13</v>
      </c>
    </row>
    <row r="529" spans="1:6" x14ac:dyDescent="0.35">
      <c r="A529" t="s">
        <v>13</v>
      </c>
      <c r="B529">
        <v>301</v>
      </c>
      <c r="C529">
        <v>310</v>
      </c>
      <c r="D529">
        <v>305.5</v>
      </c>
      <c r="E529">
        <v>2</v>
      </c>
      <c r="F529">
        <v>67</v>
      </c>
    </row>
    <row r="530" spans="1:6" x14ac:dyDescent="0.35">
      <c r="A530" t="s">
        <v>13</v>
      </c>
      <c r="B530">
        <v>301</v>
      </c>
      <c r="C530">
        <v>310</v>
      </c>
      <c r="D530">
        <v>305.5</v>
      </c>
      <c r="E530">
        <v>3</v>
      </c>
      <c r="F530">
        <v>105</v>
      </c>
    </row>
    <row r="531" spans="1:6" x14ac:dyDescent="0.35">
      <c r="A531" t="s">
        <v>13</v>
      </c>
      <c r="B531">
        <v>301</v>
      </c>
      <c r="C531">
        <v>310</v>
      </c>
      <c r="D531">
        <v>305.5</v>
      </c>
      <c r="E531">
        <v>4</v>
      </c>
      <c r="F531">
        <v>115</v>
      </c>
    </row>
    <row r="532" spans="1:6" x14ac:dyDescent="0.35">
      <c r="A532" t="s">
        <v>13</v>
      </c>
      <c r="B532">
        <v>301</v>
      </c>
      <c r="C532">
        <v>310</v>
      </c>
      <c r="D532">
        <v>305.5</v>
      </c>
      <c r="E532">
        <v>5</v>
      </c>
      <c r="F532">
        <v>85</v>
      </c>
    </row>
    <row r="533" spans="1:6" x14ac:dyDescent="0.35">
      <c r="A533" t="s">
        <v>13</v>
      </c>
      <c r="B533">
        <v>301</v>
      </c>
      <c r="C533">
        <v>310</v>
      </c>
      <c r="D533">
        <v>305.5</v>
      </c>
      <c r="E533">
        <v>6</v>
      </c>
      <c r="F533">
        <v>46</v>
      </c>
    </row>
    <row r="534" spans="1:6" x14ac:dyDescent="0.35">
      <c r="A534" t="s">
        <v>13</v>
      </c>
      <c r="B534">
        <v>311</v>
      </c>
      <c r="C534">
        <v>320</v>
      </c>
      <c r="D534">
        <v>315.5</v>
      </c>
      <c r="E534">
        <v>1</v>
      </c>
      <c r="F534">
        <v>15</v>
      </c>
    </row>
    <row r="535" spans="1:6" x14ac:dyDescent="0.35">
      <c r="A535" t="s">
        <v>13</v>
      </c>
      <c r="B535">
        <v>311</v>
      </c>
      <c r="C535">
        <v>320</v>
      </c>
      <c r="D535">
        <v>315.5</v>
      </c>
      <c r="E535">
        <v>2</v>
      </c>
      <c r="F535">
        <v>51</v>
      </c>
    </row>
    <row r="536" spans="1:6" x14ac:dyDescent="0.35">
      <c r="A536" t="s">
        <v>13</v>
      </c>
      <c r="B536">
        <v>311</v>
      </c>
      <c r="C536">
        <v>320</v>
      </c>
      <c r="D536">
        <v>315.5</v>
      </c>
      <c r="E536">
        <v>3</v>
      </c>
      <c r="F536">
        <v>84</v>
      </c>
    </row>
    <row r="537" spans="1:6" x14ac:dyDescent="0.35">
      <c r="A537" t="s">
        <v>13</v>
      </c>
      <c r="B537">
        <v>311</v>
      </c>
      <c r="C537">
        <v>320</v>
      </c>
      <c r="D537">
        <v>315.5</v>
      </c>
      <c r="E537">
        <v>4</v>
      </c>
      <c r="F537">
        <v>100</v>
      </c>
    </row>
    <row r="538" spans="1:6" x14ac:dyDescent="0.35">
      <c r="A538" t="s">
        <v>13</v>
      </c>
      <c r="B538">
        <v>311</v>
      </c>
      <c r="C538">
        <v>320</v>
      </c>
      <c r="D538">
        <v>315.5</v>
      </c>
      <c r="E538">
        <v>5</v>
      </c>
      <c r="F538">
        <v>84</v>
      </c>
    </row>
    <row r="539" spans="1:6" x14ac:dyDescent="0.35">
      <c r="A539" t="s">
        <v>13</v>
      </c>
      <c r="B539">
        <v>311</v>
      </c>
      <c r="C539">
        <v>320</v>
      </c>
      <c r="D539">
        <v>315.5</v>
      </c>
      <c r="E539">
        <v>6</v>
      </c>
      <c r="F539">
        <v>48</v>
      </c>
    </row>
    <row r="540" spans="1:6" x14ac:dyDescent="0.35">
      <c r="A540" t="s">
        <v>13</v>
      </c>
      <c r="B540">
        <v>321</v>
      </c>
      <c r="C540">
        <v>330</v>
      </c>
      <c r="D540">
        <v>325.5</v>
      </c>
      <c r="E540">
        <v>1</v>
      </c>
      <c r="F540">
        <v>11</v>
      </c>
    </row>
    <row r="541" spans="1:6" x14ac:dyDescent="0.35">
      <c r="A541" t="s">
        <v>13</v>
      </c>
      <c r="B541">
        <v>321</v>
      </c>
      <c r="C541">
        <v>330</v>
      </c>
      <c r="D541">
        <v>325.5</v>
      </c>
      <c r="E541">
        <v>2</v>
      </c>
      <c r="F541">
        <v>62</v>
      </c>
    </row>
    <row r="542" spans="1:6" x14ac:dyDescent="0.35">
      <c r="A542" t="s">
        <v>13</v>
      </c>
      <c r="B542">
        <v>321</v>
      </c>
      <c r="C542">
        <v>330</v>
      </c>
      <c r="D542">
        <v>325.5</v>
      </c>
      <c r="E542">
        <v>3</v>
      </c>
      <c r="F542">
        <v>107</v>
      </c>
    </row>
    <row r="543" spans="1:6" x14ac:dyDescent="0.35">
      <c r="A543" t="s">
        <v>13</v>
      </c>
      <c r="B543">
        <v>321</v>
      </c>
      <c r="C543">
        <v>330</v>
      </c>
      <c r="D543">
        <v>325.5</v>
      </c>
      <c r="E543">
        <v>4</v>
      </c>
      <c r="F543">
        <v>96</v>
      </c>
    </row>
    <row r="544" spans="1:6" x14ac:dyDescent="0.35">
      <c r="A544" t="s">
        <v>13</v>
      </c>
      <c r="B544">
        <v>321</v>
      </c>
      <c r="C544">
        <v>330</v>
      </c>
      <c r="D544">
        <v>325.5</v>
      </c>
      <c r="E544">
        <v>5</v>
      </c>
      <c r="F544">
        <v>67</v>
      </c>
    </row>
    <row r="545" spans="1:6" x14ac:dyDescent="0.35">
      <c r="A545" t="s">
        <v>13</v>
      </c>
      <c r="B545">
        <v>321</v>
      </c>
      <c r="C545">
        <v>330</v>
      </c>
      <c r="D545">
        <v>325.5</v>
      </c>
      <c r="E545">
        <v>6</v>
      </c>
      <c r="F545">
        <v>32</v>
      </c>
    </row>
    <row r="546" spans="1:6" x14ac:dyDescent="0.35">
      <c r="A546" t="s">
        <v>13</v>
      </c>
      <c r="B546">
        <v>331</v>
      </c>
      <c r="C546">
        <v>340</v>
      </c>
      <c r="D546">
        <v>335.5</v>
      </c>
      <c r="E546">
        <v>1</v>
      </c>
      <c r="F546">
        <v>17</v>
      </c>
    </row>
    <row r="547" spans="1:6" x14ac:dyDescent="0.35">
      <c r="A547" t="s">
        <v>13</v>
      </c>
      <c r="B547">
        <v>331</v>
      </c>
      <c r="C547">
        <v>340</v>
      </c>
      <c r="D547">
        <v>335.5</v>
      </c>
      <c r="E547">
        <v>2</v>
      </c>
      <c r="F547">
        <v>52</v>
      </c>
    </row>
    <row r="548" spans="1:6" x14ac:dyDescent="0.35">
      <c r="A548" t="s">
        <v>13</v>
      </c>
      <c r="B548">
        <v>331</v>
      </c>
      <c r="C548">
        <v>340</v>
      </c>
      <c r="D548">
        <v>335.5</v>
      </c>
      <c r="E548">
        <v>3</v>
      </c>
      <c r="F548">
        <v>90</v>
      </c>
    </row>
    <row r="549" spans="1:6" x14ac:dyDescent="0.35">
      <c r="A549" t="s">
        <v>13</v>
      </c>
      <c r="B549">
        <v>331</v>
      </c>
      <c r="C549">
        <v>340</v>
      </c>
      <c r="D549">
        <v>335.5</v>
      </c>
      <c r="E549">
        <v>4</v>
      </c>
      <c r="F549">
        <v>77</v>
      </c>
    </row>
    <row r="550" spans="1:6" x14ac:dyDescent="0.35">
      <c r="A550" t="s">
        <v>13</v>
      </c>
      <c r="B550">
        <v>331</v>
      </c>
      <c r="C550">
        <v>340</v>
      </c>
      <c r="D550">
        <v>335.5</v>
      </c>
      <c r="E550">
        <v>5</v>
      </c>
      <c r="F550">
        <v>69</v>
      </c>
    </row>
    <row r="551" spans="1:6" x14ac:dyDescent="0.35">
      <c r="A551" t="s">
        <v>13</v>
      </c>
      <c r="B551">
        <v>331</v>
      </c>
      <c r="C551">
        <v>340</v>
      </c>
      <c r="D551">
        <v>335.5</v>
      </c>
      <c r="E551">
        <v>6</v>
      </c>
      <c r="F551">
        <v>43</v>
      </c>
    </row>
    <row r="552" spans="1:6" x14ac:dyDescent="0.35">
      <c r="A552" t="s">
        <v>13</v>
      </c>
      <c r="B552">
        <v>341</v>
      </c>
      <c r="C552">
        <v>350</v>
      </c>
      <c r="D552">
        <v>345.5</v>
      </c>
      <c r="E552">
        <v>1</v>
      </c>
      <c r="F552">
        <v>25</v>
      </c>
    </row>
    <row r="553" spans="1:6" x14ac:dyDescent="0.35">
      <c r="A553" t="s">
        <v>13</v>
      </c>
      <c r="B553">
        <v>341</v>
      </c>
      <c r="C553">
        <v>350</v>
      </c>
      <c r="D553">
        <v>345.5</v>
      </c>
      <c r="E553">
        <v>2</v>
      </c>
      <c r="F553">
        <v>72</v>
      </c>
    </row>
    <row r="554" spans="1:6" x14ac:dyDescent="0.35">
      <c r="A554" t="s">
        <v>13</v>
      </c>
      <c r="B554">
        <v>341</v>
      </c>
      <c r="C554">
        <v>350</v>
      </c>
      <c r="D554">
        <v>345.5</v>
      </c>
      <c r="E554">
        <v>3</v>
      </c>
      <c r="F554">
        <v>85</v>
      </c>
    </row>
    <row r="555" spans="1:6" x14ac:dyDescent="0.35">
      <c r="A555" t="s">
        <v>13</v>
      </c>
      <c r="B555">
        <v>341</v>
      </c>
      <c r="C555">
        <v>350</v>
      </c>
      <c r="D555">
        <v>345.5</v>
      </c>
      <c r="E555">
        <v>4</v>
      </c>
      <c r="F555">
        <v>89</v>
      </c>
    </row>
    <row r="556" spans="1:6" x14ac:dyDescent="0.35">
      <c r="A556" t="s">
        <v>13</v>
      </c>
      <c r="B556">
        <v>341</v>
      </c>
      <c r="C556">
        <v>350</v>
      </c>
      <c r="D556">
        <v>345.5</v>
      </c>
      <c r="E556">
        <v>5</v>
      </c>
      <c r="F556">
        <v>56</v>
      </c>
    </row>
    <row r="557" spans="1:6" x14ac:dyDescent="0.35">
      <c r="A557" t="s">
        <v>13</v>
      </c>
      <c r="B557">
        <v>341</v>
      </c>
      <c r="C557">
        <v>350</v>
      </c>
      <c r="D557">
        <v>345.5</v>
      </c>
      <c r="E557">
        <v>6</v>
      </c>
      <c r="F557">
        <v>41</v>
      </c>
    </row>
    <row r="558" spans="1:6" x14ac:dyDescent="0.35">
      <c r="A558" t="s">
        <v>13</v>
      </c>
      <c r="B558">
        <v>351</v>
      </c>
      <c r="C558">
        <v>360</v>
      </c>
      <c r="D558">
        <v>355.5</v>
      </c>
      <c r="E558">
        <v>1</v>
      </c>
      <c r="F558">
        <v>26</v>
      </c>
    </row>
    <row r="559" spans="1:6" x14ac:dyDescent="0.35">
      <c r="A559" t="s">
        <v>13</v>
      </c>
      <c r="B559">
        <v>351</v>
      </c>
      <c r="C559">
        <v>360</v>
      </c>
      <c r="D559">
        <v>355.5</v>
      </c>
      <c r="E559">
        <v>2</v>
      </c>
      <c r="F559">
        <v>46</v>
      </c>
    </row>
    <row r="560" spans="1:6" x14ac:dyDescent="0.35">
      <c r="A560" t="s">
        <v>13</v>
      </c>
      <c r="B560">
        <v>351</v>
      </c>
      <c r="C560">
        <v>360</v>
      </c>
      <c r="D560">
        <v>355.5</v>
      </c>
      <c r="E560">
        <v>3</v>
      </c>
      <c r="F560">
        <v>89</v>
      </c>
    </row>
    <row r="561" spans="1:6" x14ac:dyDescent="0.35">
      <c r="A561" t="s">
        <v>13</v>
      </c>
      <c r="B561">
        <v>351</v>
      </c>
      <c r="C561">
        <v>360</v>
      </c>
      <c r="D561">
        <v>355.5</v>
      </c>
      <c r="E561">
        <v>4</v>
      </c>
      <c r="F561">
        <v>84</v>
      </c>
    </row>
    <row r="562" spans="1:6" x14ac:dyDescent="0.35">
      <c r="A562" t="s">
        <v>13</v>
      </c>
      <c r="B562">
        <v>351</v>
      </c>
      <c r="C562">
        <v>360</v>
      </c>
      <c r="D562">
        <v>355.5</v>
      </c>
      <c r="E562">
        <v>5</v>
      </c>
      <c r="F562">
        <v>43</v>
      </c>
    </row>
    <row r="563" spans="1:6" x14ac:dyDescent="0.35">
      <c r="A563" t="s">
        <v>13</v>
      </c>
      <c r="B563">
        <v>351</v>
      </c>
      <c r="C563">
        <v>360</v>
      </c>
      <c r="D563">
        <v>355.5</v>
      </c>
      <c r="E563">
        <v>6</v>
      </c>
      <c r="F563">
        <v>21</v>
      </c>
    </row>
    <row r="564" spans="1:6" x14ac:dyDescent="0.35">
      <c r="A564" t="s">
        <v>13</v>
      </c>
      <c r="B564">
        <v>361</v>
      </c>
      <c r="C564">
        <v>370</v>
      </c>
      <c r="D564">
        <v>365.5</v>
      </c>
      <c r="E564">
        <v>1</v>
      </c>
      <c r="F564">
        <v>19</v>
      </c>
    </row>
    <row r="565" spans="1:6" x14ac:dyDescent="0.35">
      <c r="A565" t="s">
        <v>13</v>
      </c>
      <c r="B565">
        <v>361</v>
      </c>
      <c r="C565">
        <v>370</v>
      </c>
      <c r="D565">
        <v>365.5</v>
      </c>
      <c r="E565">
        <v>2</v>
      </c>
      <c r="F565">
        <v>58</v>
      </c>
    </row>
    <row r="566" spans="1:6" x14ac:dyDescent="0.35">
      <c r="A566" t="s">
        <v>13</v>
      </c>
      <c r="B566">
        <v>361</v>
      </c>
      <c r="C566">
        <v>370</v>
      </c>
      <c r="D566">
        <v>365.5</v>
      </c>
      <c r="E566">
        <v>3</v>
      </c>
      <c r="F566">
        <v>98</v>
      </c>
    </row>
    <row r="567" spans="1:6" x14ac:dyDescent="0.35">
      <c r="A567" t="s">
        <v>13</v>
      </c>
      <c r="B567">
        <v>361</v>
      </c>
      <c r="C567">
        <v>370</v>
      </c>
      <c r="D567">
        <v>365.5</v>
      </c>
      <c r="E567">
        <v>4</v>
      </c>
      <c r="F567">
        <v>80</v>
      </c>
    </row>
    <row r="568" spans="1:6" x14ac:dyDescent="0.35">
      <c r="A568" t="s">
        <v>13</v>
      </c>
      <c r="B568">
        <v>361</v>
      </c>
      <c r="C568">
        <v>370</v>
      </c>
      <c r="D568">
        <v>365.5</v>
      </c>
      <c r="E568">
        <v>5</v>
      </c>
      <c r="F568">
        <v>55</v>
      </c>
    </row>
    <row r="569" spans="1:6" x14ac:dyDescent="0.35">
      <c r="A569" t="s">
        <v>13</v>
      </c>
      <c r="B569">
        <v>361</v>
      </c>
      <c r="C569">
        <v>370</v>
      </c>
      <c r="D569">
        <v>365.5</v>
      </c>
      <c r="E569">
        <v>6</v>
      </c>
      <c r="F569">
        <v>31</v>
      </c>
    </row>
    <row r="570" spans="1:6" x14ac:dyDescent="0.35">
      <c r="A570" t="s">
        <v>13</v>
      </c>
      <c r="B570">
        <v>371</v>
      </c>
      <c r="C570">
        <v>380</v>
      </c>
      <c r="D570">
        <v>375.5</v>
      </c>
      <c r="E570">
        <v>1</v>
      </c>
      <c r="F570">
        <v>22</v>
      </c>
    </row>
    <row r="571" spans="1:6" x14ac:dyDescent="0.35">
      <c r="A571" t="s">
        <v>13</v>
      </c>
      <c r="B571">
        <v>371</v>
      </c>
      <c r="C571">
        <v>380</v>
      </c>
      <c r="D571">
        <v>375.5</v>
      </c>
      <c r="E571">
        <v>2</v>
      </c>
      <c r="F571">
        <v>50</v>
      </c>
    </row>
    <row r="572" spans="1:6" x14ac:dyDescent="0.35">
      <c r="A572" t="s">
        <v>13</v>
      </c>
      <c r="B572">
        <v>371</v>
      </c>
      <c r="C572">
        <v>380</v>
      </c>
      <c r="D572">
        <v>375.5</v>
      </c>
      <c r="E572">
        <v>3</v>
      </c>
      <c r="F572">
        <v>69</v>
      </c>
    </row>
    <row r="573" spans="1:6" x14ac:dyDescent="0.35">
      <c r="A573" t="s">
        <v>13</v>
      </c>
      <c r="B573">
        <v>371</v>
      </c>
      <c r="C573">
        <v>380</v>
      </c>
      <c r="D573">
        <v>375.5</v>
      </c>
      <c r="E573">
        <v>4</v>
      </c>
      <c r="F573">
        <v>67</v>
      </c>
    </row>
    <row r="574" spans="1:6" x14ac:dyDescent="0.35">
      <c r="A574" t="s">
        <v>13</v>
      </c>
      <c r="B574">
        <v>371</v>
      </c>
      <c r="C574">
        <v>380</v>
      </c>
      <c r="D574">
        <v>375.5</v>
      </c>
      <c r="E574">
        <v>5</v>
      </c>
      <c r="F574">
        <v>50</v>
      </c>
    </row>
    <row r="575" spans="1:6" x14ac:dyDescent="0.35">
      <c r="A575" t="s">
        <v>13</v>
      </c>
      <c r="B575">
        <v>371</v>
      </c>
      <c r="C575">
        <v>380</v>
      </c>
      <c r="D575">
        <v>375.5</v>
      </c>
      <c r="E575">
        <v>6</v>
      </c>
      <c r="F575">
        <v>37</v>
      </c>
    </row>
    <row r="576" spans="1:6" x14ac:dyDescent="0.35">
      <c r="A576" t="s">
        <v>13</v>
      </c>
      <c r="B576">
        <v>381</v>
      </c>
      <c r="C576">
        <v>390</v>
      </c>
      <c r="D576">
        <v>385.5</v>
      </c>
      <c r="E576">
        <v>1</v>
      </c>
      <c r="F576">
        <v>23</v>
      </c>
    </row>
    <row r="577" spans="1:6" x14ac:dyDescent="0.35">
      <c r="A577" t="s">
        <v>13</v>
      </c>
      <c r="B577">
        <v>381</v>
      </c>
      <c r="C577">
        <v>390</v>
      </c>
      <c r="D577">
        <v>385.5</v>
      </c>
      <c r="E577">
        <v>2</v>
      </c>
      <c r="F577">
        <v>49</v>
      </c>
    </row>
    <row r="578" spans="1:6" x14ac:dyDescent="0.35">
      <c r="A578" t="s">
        <v>13</v>
      </c>
      <c r="B578">
        <v>381</v>
      </c>
      <c r="C578">
        <v>390</v>
      </c>
      <c r="D578">
        <v>385.5</v>
      </c>
      <c r="E578">
        <v>3</v>
      </c>
      <c r="F578">
        <v>82</v>
      </c>
    </row>
    <row r="579" spans="1:6" x14ac:dyDescent="0.35">
      <c r="A579" t="s">
        <v>13</v>
      </c>
      <c r="B579">
        <v>381</v>
      </c>
      <c r="C579">
        <v>390</v>
      </c>
      <c r="D579">
        <v>385.5</v>
      </c>
      <c r="E579">
        <v>4</v>
      </c>
      <c r="F579">
        <v>61</v>
      </c>
    </row>
    <row r="580" spans="1:6" x14ac:dyDescent="0.35">
      <c r="A580" t="s">
        <v>13</v>
      </c>
      <c r="B580">
        <v>381</v>
      </c>
      <c r="C580">
        <v>390</v>
      </c>
      <c r="D580">
        <v>385.5</v>
      </c>
      <c r="E580">
        <v>5</v>
      </c>
      <c r="F580">
        <v>34</v>
      </c>
    </row>
    <row r="581" spans="1:6" x14ac:dyDescent="0.35">
      <c r="A581" t="s">
        <v>13</v>
      </c>
      <c r="B581">
        <v>381</v>
      </c>
      <c r="C581">
        <v>390</v>
      </c>
      <c r="D581">
        <v>385.5</v>
      </c>
      <c r="E581">
        <v>6</v>
      </c>
      <c r="F581">
        <v>17</v>
      </c>
    </row>
    <row r="582" spans="1:6" x14ac:dyDescent="0.35">
      <c r="A582" t="s">
        <v>13</v>
      </c>
      <c r="B582">
        <v>391</v>
      </c>
      <c r="C582">
        <v>400</v>
      </c>
      <c r="D582">
        <v>395.5</v>
      </c>
      <c r="E582">
        <v>1</v>
      </c>
      <c r="F582">
        <v>23</v>
      </c>
    </row>
    <row r="583" spans="1:6" x14ac:dyDescent="0.35">
      <c r="A583" t="s">
        <v>13</v>
      </c>
      <c r="B583">
        <v>391</v>
      </c>
      <c r="C583">
        <v>400</v>
      </c>
      <c r="D583">
        <v>395.5</v>
      </c>
      <c r="E583">
        <v>2</v>
      </c>
      <c r="F583">
        <v>48</v>
      </c>
    </row>
    <row r="584" spans="1:6" x14ac:dyDescent="0.35">
      <c r="A584" t="s">
        <v>13</v>
      </c>
      <c r="B584">
        <v>391</v>
      </c>
      <c r="C584">
        <v>400</v>
      </c>
      <c r="D584">
        <v>395.5</v>
      </c>
      <c r="E584">
        <v>3</v>
      </c>
      <c r="F584">
        <v>70</v>
      </c>
    </row>
    <row r="585" spans="1:6" x14ac:dyDescent="0.35">
      <c r="A585" t="s">
        <v>13</v>
      </c>
      <c r="B585">
        <v>391</v>
      </c>
      <c r="C585">
        <v>400</v>
      </c>
      <c r="D585">
        <v>395.5</v>
      </c>
      <c r="E585">
        <v>4</v>
      </c>
      <c r="F585">
        <v>54</v>
      </c>
    </row>
    <row r="586" spans="1:6" x14ac:dyDescent="0.35">
      <c r="A586" t="s">
        <v>13</v>
      </c>
      <c r="B586">
        <v>391</v>
      </c>
      <c r="C586">
        <v>400</v>
      </c>
      <c r="D586">
        <v>395.5</v>
      </c>
      <c r="E586">
        <v>5</v>
      </c>
      <c r="F586">
        <v>49</v>
      </c>
    </row>
    <row r="587" spans="1:6" x14ac:dyDescent="0.35">
      <c r="A587" t="s">
        <v>13</v>
      </c>
      <c r="B587">
        <v>391</v>
      </c>
      <c r="C587">
        <v>400</v>
      </c>
      <c r="D587">
        <v>395.5</v>
      </c>
      <c r="E587">
        <v>6</v>
      </c>
      <c r="F587">
        <v>20</v>
      </c>
    </row>
    <row r="588" spans="1:6" x14ac:dyDescent="0.35">
      <c r="A588" t="s">
        <v>13</v>
      </c>
      <c r="B588">
        <v>401</v>
      </c>
      <c r="C588">
        <v>410</v>
      </c>
      <c r="D588">
        <v>405.5</v>
      </c>
      <c r="E588">
        <v>1</v>
      </c>
      <c r="F588">
        <v>9</v>
      </c>
    </row>
    <row r="589" spans="1:6" x14ac:dyDescent="0.35">
      <c r="A589" t="s">
        <v>13</v>
      </c>
      <c r="B589">
        <v>401</v>
      </c>
      <c r="C589">
        <v>410</v>
      </c>
      <c r="D589">
        <v>405.5</v>
      </c>
      <c r="E589">
        <v>2</v>
      </c>
      <c r="F589">
        <v>38</v>
      </c>
    </row>
    <row r="590" spans="1:6" x14ac:dyDescent="0.35">
      <c r="A590" t="s">
        <v>13</v>
      </c>
      <c r="B590">
        <v>401</v>
      </c>
      <c r="C590">
        <v>410</v>
      </c>
      <c r="D590">
        <v>405.5</v>
      </c>
      <c r="E590">
        <v>3</v>
      </c>
      <c r="F590">
        <v>73</v>
      </c>
    </row>
    <row r="591" spans="1:6" x14ac:dyDescent="0.35">
      <c r="A591" t="s">
        <v>13</v>
      </c>
      <c r="B591">
        <v>401</v>
      </c>
      <c r="C591">
        <v>410</v>
      </c>
      <c r="D591">
        <v>405.5</v>
      </c>
      <c r="E591">
        <v>4</v>
      </c>
      <c r="F591">
        <v>63</v>
      </c>
    </row>
    <row r="592" spans="1:6" x14ac:dyDescent="0.35">
      <c r="A592" t="s">
        <v>13</v>
      </c>
      <c r="B592">
        <v>401</v>
      </c>
      <c r="C592">
        <v>410</v>
      </c>
      <c r="D592">
        <v>405.5</v>
      </c>
      <c r="E592">
        <v>5</v>
      </c>
      <c r="F592">
        <v>36</v>
      </c>
    </row>
    <row r="593" spans="1:6" x14ac:dyDescent="0.35">
      <c r="A593" t="s">
        <v>13</v>
      </c>
      <c r="B593">
        <v>401</v>
      </c>
      <c r="C593">
        <v>410</v>
      </c>
      <c r="D593">
        <v>405.5</v>
      </c>
      <c r="E593">
        <v>6</v>
      </c>
      <c r="F593">
        <v>18</v>
      </c>
    </row>
    <row r="594" spans="1:6" x14ac:dyDescent="0.35">
      <c r="A594" t="s">
        <v>13</v>
      </c>
      <c r="B594">
        <v>411</v>
      </c>
      <c r="C594">
        <v>420</v>
      </c>
      <c r="D594">
        <v>415.5</v>
      </c>
      <c r="E594">
        <v>1</v>
      </c>
      <c r="F594">
        <v>18</v>
      </c>
    </row>
    <row r="595" spans="1:6" x14ac:dyDescent="0.35">
      <c r="A595" t="s">
        <v>13</v>
      </c>
      <c r="B595">
        <v>411</v>
      </c>
      <c r="C595">
        <v>420</v>
      </c>
      <c r="D595">
        <v>415.5</v>
      </c>
      <c r="E595">
        <v>2</v>
      </c>
      <c r="F595">
        <v>49</v>
      </c>
    </row>
    <row r="596" spans="1:6" x14ac:dyDescent="0.35">
      <c r="A596" t="s">
        <v>13</v>
      </c>
      <c r="B596">
        <v>411</v>
      </c>
      <c r="C596">
        <v>420</v>
      </c>
      <c r="D596">
        <v>415.5</v>
      </c>
      <c r="E596">
        <v>3</v>
      </c>
      <c r="F596">
        <v>57</v>
      </c>
    </row>
    <row r="597" spans="1:6" x14ac:dyDescent="0.35">
      <c r="A597" t="s">
        <v>13</v>
      </c>
      <c r="B597">
        <v>411</v>
      </c>
      <c r="C597">
        <v>420</v>
      </c>
      <c r="D597">
        <v>415.5</v>
      </c>
      <c r="E597">
        <v>4</v>
      </c>
      <c r="F597">
        <v>52</v>
      </c>
    </row>
    <row r="598" spans="1:6" x14ac:dyDescent="0.35">
      <c r="A598" t="s">
        <v>13</v>
      </c>
      <c r="B598">
        <v>411</v>
      </c>
      <c r="C598">
        <v>420</v>
      </c>
      <c r="D598">
        <v>415.5</v>
      </c>
      <c r="E598">
        <v>5</v>
      </c>
      <c r="F598">
        <v>36</v>
      </c>
    </row>
    <row r="599" spans="1:6" x14ac:dyDescent="0.35">
      <c r="A599" t="s">
        <v>13</v>
      </c>
      <c r="B599">
        <v>411</v>
      </c>
      <c r="C599">
        <v>420</v>
      </c>
      <c r="D599">
        <v>415.5</v>
      </c>
      <c r="E599">
        <v>6</v>
      </c>
      <c r="F599">
        <v>16</v>
      </c>
    </row>
    <row r="600" spans="1:6" x14ac:dyDescent="0.35">
      <c r="A600" t="s">
        <v>13</v>
      </c>
      <c r="B600">
        <v>421</v>
      </c>
      <c r="C600">
        <v>430</v>
      </c>
      <c r="D600">
        <v>425.5</v>
      </c>
      <c r="E600">
        <v>1</v>
      </c>
      <c r="F600">
        <v>21</v>
      </c>
    </row>
    <row r="601" spans="1:6" x14ac:dyDescent="0.35">
      <c r="A601" t="s">
        <v>13</v>
      </c>
      <c r="B601">
        <v>421</v>
      </c>
      <c r="C601">
        <v>430</v>
      </c>
      <c r="D601">
        <v>425.5</v>
      </c>
      <c r="E601">
        <v>2</v>
      </c>
      <c r="F601">
        <v>54</v>
      </c>
    </row>
    <row r="602" spans="1:6" x14ac:dyDescent="0.35">
      <c r="A602" t="s">
        <v>13</v>
      </c>
      <c r="B602">
        <v>421</v>
      </c>
      <c r="C602">
        <v>430</v>
      </c>
      <c r="D602">
        <v>425.5</v>
      </c>
      <c r="E602">
        <v>3</v>
      </c>
      <c r="F602">
        <v>57</v>
      </c>
    </row>
    <row r="603" spans="1:6" x14ac:dyDescent="0.35">
      <c r="A603" t="s">
        <v>13</v>
      </c>
      <c r="B603">
        <v>421</v>
      </c>
      <c r="C603">
        <v>430</v>
      </c>
      <c r="D603">
        <v>425.5</v>
      </c>
      <c r="E603">
        <v>4</v>
      </c>
      <c r="F603">
        <v>58</v>
      </c>
    </row>
    <row r="604" spans="1:6" x14ac:dyDescent="0.35">
      <c r="A604" t="s">
        <v>13</v>
      </c>
      <c r="B604">
        <v>421</v>
      </c>
      <c r="C604">
        <v>430</v>
      </c>
      <c r="D604">
        <v>425.5</v>
      </c>
      <c r="E604">
        <v>5</v>
      </c>
      <c r="F604">
        <v>27</v>
      </c>
    </row>
    <row r="605" spans="1:6" x14ac:dyDescent="0.35">
      <c r="A605" t="s">
        <v>13</v>
      </c>
      <c r="B605">
        <v>421</v>
      </c>
      <c r="C605">
        <v>430</v>
      </c>
      <c r="D605">
        <v>425.5</v>
      </c>
      <c r="E605">
        <v>6</v>
      </c>
      <c r="F605">
        <v>14</v>
      </c>
    </row>
    <row r="606" spans="1:6" x14ac:dyDescent="0.35">
      <c r="A606" t="s">
        <v>13</v>
      </c>
      <c r="B606">
        <v>431</v>
      </c>
      <c r="C606">
        <v>440</v>
      </c>
      <c r="D606">
        <v>435.5</v>
      </c>
      <c r="E606">
        <v>1</v>
      </c>
      <c r="F606">
        <v>21</v>
      </c>
    </row>
    <row r="607" spans="1:6" x14ac:dyDescent="0.35">
      <c r="A607" t="s">
        <v>13</v>
      </c>
      <c r="B607">
        <v>431</v>
      </c>
      <c r="C607">
        <v>440</v>
      </c>
      <c r="D607">
        <v>435.5</v>
      </c>
      <c r="E607">
        <v>2</v>
      </c>
      <c r="F607">
        <v>48</v>
      </c>
    </row>
    <row r="608" spans="1:6" x14ac:dyDescent="0.35">
      <c r="A608" t="s">
        <v>13</v>
      </c>
      <c r="B608">
        <v>431</v>
      </c>
      <c r="C608">
        <v>440</v>
      </c>
      <c r="D608">
        <v>435.5</v>
      </c>
      <c r="E608">
        <v>3</v>
      </c>
      <c r="F608">
        <v>58</v>
      </c>
    </row>
    <row r="609" spans="1:6" x14ac:dyDescent="0.35">
      <c r="A609" t="s">
        <v>13</v>
      </c>
      <c r="B609">
        <v>431</v>
      </c>
      <c r="C609">
        <v>440</v>
      </c>
      <c r="D609">
        <v>435.5</v>
      </c>
      <c r="E609">
        <v>4</v>
      </c>
      <c r="F609">
        <v>49</v>
      </c>
    </row>
    <row r="610" spans="1:6" x14ac:dyDescent="0.35">
      <c r="A610" t="s">
        <v>13</v>
      </c>
      <c r="B610">
        <v>431</v>
      </c>
      <c r="C610">
        <v>440</v>
      </c>
      <c r="D610">
        <v>435.5</v>
      </c>
      <c r="E610">
        <v>5</v>
      </c>
      <c r="F610">
        <v>28</v>
      </c>
    </row>
    <row r="611" spans="1:6" x14ac:dyDescent="0.35">
      <c r="A611" t="s">
        <v>13</v>
      </c>
      <c r="B611">
        <v>431</v>
      </c>
      <c r="C611">
        <v>440</v>
      </c>
      <c r="D611">
        <v>435.5</v>
      </c>
      <c r="E611">
        <v>6</v>
      </c>
      <c r="F611">
        <v>16</v>
      </c>
    </row>
    <row r="612" spans="1:6" x14ac:dyDescent="0.35">
      <c r="A612" t="s">
        <v>13</v>
      </c>
      <c r="B612">
        <v>441</v>
      </c>
      <c r="C612">
        <v>450</v>
      </c>
      <c r="D612">
        <v>445.5</v>
      </c>
      <c r="E612">
        <v>1</v>
      </c>
      <c r="F612">
        <v>22</v>
      </c>
    </row>
    <row r="613" spans="1:6" x14ac:dyDescent="0.35">
      <c r="A613" t="s">
        <v>13</v>
      </c>
      <c r="B613">
        <v>441</v>
      </c>
      <c r="C613">
        <v>450</v>
      </c>
      <c r="D613">
        <v>445.5</v>
      </c>
      <c r="E613">
        <v>2</v>
      </c>
      <c r="F613">
        <v>46</v>
      </c>
    </row>
    <row r="614" spans="1:6" x14ac:dyDescent="0.35">
      <c r="A614" t="s">
        <v>13</v>
      </c>
      <c r="B614">
        <v>441</v>
      </c>
      <c r="C614">
        <v>450</v>
      </c>
      <c r="D614">
        <v>445.5</v>
      </c>
      <c r="E614">
        <v>3</v>
      </c>
      <c r="F614">
        <v>51</v>
      </c>
    </row>
    <row r="615" spans="1:6" x14ac:dyDescent="0.35">
      <c r="A615" t="s">
        <v>13</v>
      </c>
      <c r="B615">
        <v>441</v>
      </c>
      <c r="C615">
        <v>450</v>
      </c>
      <c r="D615">
        <v>445.5</v>
      </c>
      <c r="E615">
        <v>4</v>
      </c>
      <c r="F615">
        <v>59</v>
      </c>
    </row>
    <row r="616" spans="1:6" x14ac:dyDescent="0.35">
      <c r="A616" t="s">
        <v>13</v>
      </c>
      <c r="B616">
        <v>441</v>
      </c>
      <c r="C616">
        <v>450</v>
      </c>
      <c r="D616">
        <v>445.5</v>
      </c>
      <c r="E616">
        <v>5</v>
      </c>
      <c r="F616">
        <v>25</v>
      </c>
    </row>
    <row r="617" spans="1:6" x14ac:dyDescent="0.35">
      <c r="A617" t="s">
        <v>13</v>
      </c>
      <c r="B617">
        <v>441</v>
      </c>
      <c r="C617">
        <v>450</v>
      </c>
      <c r="D617">
        <v>445.5</v>
      </c>
      <c r="E617">
        <v>6</v>
      </c>
      <c r="F617">
        <v>7</v>
      </c>
    </row>
    <row r="618" spans="1:6" x14ac:dyDescent="0.35">
      <c r="A618" t="s">
        <v>13</v>
      </c>
      <c r="B618">
        <v>451</v>
      </c>
      <c r="C618">
        <v>460</v>
      </c>
      <c r="D618">
        <v>455.5</v>
      </c>
      <c r="E618">
        <v>1</v>
      </c>
      <c r="F618">
        <v>19</v>
      </c>
    </row>
    <row r="619" spans="1:6" x14ac:dyDescent="0.35">
      <c r="A619" t="s">
        <v>13</v>
      </c>
      <c r="B619">
        <v>451</v>
      </c>
      <c r="C619">
        <v>460</v>
      </c>
      <c r="D619">
        <v>455.5</v>
      </c>
      <c r="E619">
        <v>2</v>
      </c>
      <c r="F619">
        <v>54</v>
      </c>
    </row>
    <row r="620" spans="1:6" x14ac:dyDescent="0.35">
      <c r="A620" t="s">
        <v>13</v>
      </c>
      <c r="B620">
        <v>451</v>
      </c>
      <c r="C620">
        <v>460</v>
      </c>
      <c r="D620">
        <v>455.5</v>
      </c>
      <c r="E620">
        <v>3</v>
      </c>
      <c r="F620">
        <v>59</v>
      </c>
    </row>
    <row r="621" spans="1:6" x14ac:dyDescent="0.35">
      <c r="A621" t="s">
        <v>13</v>
      </c>
      <c r="B621">
        <v>451</v>
      </c>
      <c r="C621">
        <v>460</v>
      </c>
      <c r="D621">
        <v>455.5</v>
      </c>
      <c r="E621">
        <v>4</v>
      </c>
      <c r="F621">
        <v>26</v>
      </c>
    </row>
    <row r="622" spans="1:6" x14ac:dyDescent="0.35">
      <c r="A622" t="s">
        <v>13</v>
      </c>
      <c r="B622">
        <v>451</v>
      </c>
      <c r="C622">
        <v>460</v>
      </c>
      <c r="D622">
        <v>455.5</v>
      </c>
      <c r="E622">
        <v>5</v>
      </c>
      <c r="F622">
        <v>35</v>
      </c>
    </row>
    <row r="623" spans="1:6" x14ac:dyDescent="0.35">
      <c r="A623" t="s">
        <v>13</v>
      </c>
      <c r="B623">
        <v>451</v>
      </c>
      <c r="C623">
        <v>460</v>
      </c>
      <c r="D623">
        <v>455.5</v>
      </c>
      <c r="E623">
        <v>6</v>
      </c>
      <c r="F623">
        <v>10</v>
      </c>
    </row>
    <row r="624" spans="1:6" x14ac:dyDescent="0.35">
      <c r="A624" t="s">
        <v>13</v>
      </c>
      <c r="B624">
        <v>461</v>
      </c>
      <c r="C624">
        <v>470</v>
      </c>
      <c r="D624">
        <v>465.5</v>
      </c>
      <c r="E624">
        <v>1</v>
      </c>
      <c r="F624">
        <v>19</v>
      </c>
    </row>
    <row r="625" spans="1:6" x14ac:dyDescent="0.35">
      <c r="A625" t="s">
        <v>13</v>
      </c>
      <c r="B625">
        <v>461</v>
      </c>
      <c r="C625">
        <v>470</v>
      </c>
      <c r="D625">
        <v>465.5</v>
      </c>
      <c r="E625">
        <v>2</v>
      </c>
      <c r="F625">
        <v>47</v>
      </c>
    </row>
    <row r="626" spans="1:6" x14ac:dyDescent="0.35">
      <c r="A626" t="s">
        <v>13</v>
      </c>
      <c r="B626">
        <v>461</v>
      </c>
      <c r="C626">
        <v>470</v>
      </c>
      <c r="D626">
        <v>465.5</v>
      </c>
      <c r="E626">
        <v>3</v>
      </c>
      <c r="F626">
        <v>41</v>
      </c>
    </row>
    <row r="627" spans="1:6" x14ac:dyDescent="0.35">
      <c r="A627" t="s">
        <v>13</v>
      </c>
      <c r="B627">
        <v>461</v>
      </c>
      <c r="C627">
        <v>470</v>
      </c>
      <c r="D627">
        <v>465.5</v>
      </c>
      <c r="E627">
        <v>4</v>
      </c>
      <c r="F627">
        <v>57</v>
      </c>
    </row>
    <row r="628" spans="1:6" x14ac:dyDescent="0.35">
      <c r="A628" t="s">
        <v>13</v>
      </c>
      <c r="B628">
        <v>461</v>
      </c>
      <c r="C628">
        <v>470</v>
      </c>
      <c r="D628">
        <v>465.5</v>
      </c>
      <c r="E628">
        <v>5</v>
      </c>
      <c r="F628">
        <v>23</v>
      </c>
    </row>
    <row r="629" spans="1:6" x14ac:dyDescent="0.35">
      <c r="A629" t="s">
        <v>13</v>
      </c>
      <c r="B629">
        <v>461</v>
      </c>
      <c r="C629">
        <v>470</v>
      </c>
      <c r="D629">
        <v>465.5</v>
      </c>
      <c r="E629">
        <v>6</v>
      </c>
      <c r="F629">
        <v>13</v>
      </c>
    </row>
    <row r="630" spans="1:6" x14ac:dyDescent="0.35">
      <c r="A630" t="s">
        <v>13</v>
      </c>
      <c r="B630">
        <v>471</v>
      </c>
      <c r="C630">
        <v>480</v>
      </c>
      <c r="D630">
        <v>475.5</v>
      </c>
      <c r="E630">
        <v>1</v>
      </c>
      <c r="F630">
        <v>21</v>
      </c>
    </row>
    <row r="631" spans="1:6" x14ac:dyDescent="0.35">
      <c r="A631" t="s">
        <v>13</v>
      </c>
      <c r="B631">
        <v>471</v>
      </c>
      <c r="C631">
        <v>480</v>
      </c>
      <c r="D631">
        <v>475.5</v>
      </c>
      <c r="E631">
        <v>2</v>
      </c>
      <c r="F631">
        <v>40</v>
      </c>
    </row>
    <row r="632" spans="1:6" x14ac:dyDescent="0.35">
      <c r="A632" t="s">
        <v>13</v>
      </c>
      <c r="B632">
        <v>471</v>
      </c>
      <c r="C632">
        <v>480</v>
      </c>
      <c r="D632">
        <v>475.5</v>
      </c>
      <c r="E632">
        <v>3</v>
      </c>
      <c r="F632">
        <v>50</v>
      </c>
    </row>
    <row r="633" spans="1:6" x14ac:dyDescent="0.35">
      <c r="A633" t="s">
        <v>13</v>
      </c>
      <c r="B633">
        <v>471</v>
      </c>
      <c r="C633">
        <v>480</v>
      </c>
      <c r="D633">
        <v>475.5</v>
      </c>
      <c r="E633">
        <v>4</v>
      </c>
      <c r="F633">
        <v>22</v>
      </c>
    </row>
    <row r="634" spans="1:6" x14ac:dyDescent="0.35">
      <c r="A634" t="s">
        <v>13</v>
      </c>
      <c r="B634">
        <v>471</v>
      </c>
      <c r="C634">
        <v>480</v>
      </c>
      <c r="D634">
        <v>475.5</v>
      </c>
      <c r="E634">
        <v>5</v>
      </c>
      <c r="F634">
        <v>22</v>
      </c>
    </row>
    <row r="635" spans="1:6" x14ac:dyDescent="0.35">
      <c r="A635" t="s">
        <v>13</v>
      </c>
      <c r="B635">
        <v>471</v>
      </c>
      <c r="C635">
        <v>480</v>
      </c>
      <c r="D635">
        <v>475.5</v>
      </c>
      <c r="E635">
        <v>6</v>
      </c>
      <c r="F635">
        <v>9</v>
      </c>
    </row>
    <row r="636" spans="1:6" x14ac:dyDescent="0.35">
      <c r="A636" t="s">
        <v>13</v>
      </c>
      <c r="B636">
        <v>481</v>
      </c>
      <c r="C636">
        <v>490</v>
      </c>
      <c r="D636">
        <v>485.5</v>
      </c>
      <c r="E636">
        <v>1</v>
      </c>
      <c r="F636">
        <v>16</v>
      </c>
    </row>
    <row r="637" spans="1:6" x14ac:dyDescent="0.35">
      <c r="A637" t="s">
        <v>13</v>
      </c>
      <c r="B637">
        <v>481</v>
      </c>
      <c r="C637">
        <v>490</v>
      </c>
      <c r="D637">
        <v>485.5</v>
      </c>
      <c r="E637">
        <v>2</v>
      </c>
      <c r="F637">
        <v>35</v>
      </c>
    </row>
    <row r="638" spans="1:6" x14ac:dyDescent="0.35">
      <c r="A638" t="s">
        <v>13</v>
      </c>
      <c r="B638">
        <v>481</v>
      </c>
      <c r="C638">
        <v>490</v>
      </c>
      <c r="D638">
        <v>485.5</v>
      </c>
      <c r="E638">
        <v>3</v>
      </c>
      <c r="F638">
        <v>37</v>
      </c>
    </row>
    <row r="639" spans="1:6" x14ac:dyDescent="0.35">
      <c r="A639" t="s">
        <v>13</v>
      </c>
      <c r="B639">
        <v>481</v>
      </c>
      <c r="C639">
        <v>490</v>
      </c>
      <c r="D639">
        <v>485.5</v>
      </c>
      <c r="E639">
        <v>4</v>
      </c>
      <c r="F639">
        <v>33</v>
      </c>
    </row>
    <row r="640" spans="1:6" x14ac:dyDescent="0.35">
      <c r="A640" t="s">
        <v>13</v>
      </c>
      <c r="B640">
        <v>481</v>
      </c>
      <c r="C640">
        <v>490</v>
      </c>
      <c r="D640">
        <v>485.5</v>
      </c>
      <c r="E640">
        <v>5</v>
      </c>
      <c r="F640">
        <v>14</v>
      </c>
    </row>
    <row r="641" spans="1:6" x14ac:dyDescent="0.35">
      <c r="A641" t="s">
        <v>13</v>
      </c>
      <c r="B641">
        <v>481</v>
      </c>
      <c r="C641">
        <v>490</v>
      </c>
      <c r="D641">
        <v>485.5</v>
      </c>
      <c r="E641">
        <v>6</v>
      </c>
      <c r="F641">
        <v>5</v>
      </c>
    </row>
    <row r="642" spans="1:6" x14ac:dyDescent="0.35">
      <c r="A642" t="s">
        <v>13</v>
      </c>
      <c r="B642">
        <v>491</v>
      </c>
      <c r="C642">
        <v>500</v>
      </c>
      <c r="D642">
        <v>495.5</v>
      </c>
      <c r="E642">
        <v>1</v>
      </c>
      <c r="F642">
        <v>25</v>
      </c>
    </row>
    <row r="643" spans="1:6" x14ac:dyDescent="0.35">
      <c r="A643" t="s">
        <v>13</v>
      </c>
      <c r="B643">
        <v>491</v>
      </c>
      <c r="C643">
        <v>500</v>
      </c>
      <c r="D643">
        <v>495.5</v>
      </c>
      <c r="E643">
        <v>2</v>
      </c>
      <c r="F643">
        <v>44</v>
      </c>
    </row>
    <row r="644" spans="1:6" x14ac:dyDescent="0.35">
      <c r="A644" t="s">
        <v>13</v>
      </c>
      <c r="B644">
        <v>491</v>
      </c>
      <c r="C644">
        <v>500</v>
      </c>
      <c r="D644">
        <v>495.5</v>
      </c>
      <c r="E644">
        <v>3</v>
      </c>
      <c r="F644">
        <v>47</v>
      </c>
    </row>
    <row r="645" spans="1:6" x14ac:dyDescent="0.35">
      <c r="A645" t="s">
        <v>13</v>
      </c>
      <c r="B645">
        <v>491</v>
      </c>
      <c r="C645">
        <v>500</v>
      </c>
      <c r="D645">
        <v>495.5</v>
      </c>
      <c r="E645">
        <v>4</v>
      </c>
      <c r="F645">
        <v>42</v>
      </c>
    </row>
    <row r="646" spans="1:6" x14ac:dyDescent="0.35">
      <c r="A646" t="s">
        <v>13</v>
      </c>
      <c r="B646">
        <v>491</v>
      </c>
      <c r="C646">
        <v>500</v>
      </c>
      <c r="D646">
        <v>495.5</v>
      </c>
      <c r="E646">
        <v>5</v>
      </c>
      <c r="F646">
        <v>15</v>
      </c>
    </row>
    <row r="647" spans="1:6" x14ac:dyDescent="0.35">
      <c r="A647" t="s">
        <v>13</v>
      </c>
      <c r="B647">
        <v>491</v>
      </c>
      <c r="C647">
        <v>500</v>
      </c>
      <c r="D647">
        <v>495.5</v>
      </c>
      <c r="E647">
        <v>6</v>
      </c>
      <c r="F647">
        <v>5</v>
      </c>
    </row>
    <row r="648" spans="1:6" x14ac:dyDescent="0.35">
      <c r="A648" t="s">
        <v>13</v>
      </c>
      <c r="B648">
        <v>501</v>
      </c>
      <c r="C648">
        <v>510</v>
      </c>
      <c r="D648">
        <v>505.5</v>
      </c>
      <c r="E648">
        <v>1</v>
      </c>
      <c r="F648">
        <v>22</v>
      </c>
    </row>
    <row r="649" spans="1:6" x14ac:dyDescent="0.35">
      <c r="A649" t="s">
        <v>13</v>
      </c>
      <c r="B649">
        <v>501</v>
      </c>
      <c r="C649">
        <v>510</v>
      </c>
      <c r="D649">
        <v>505.5</v>
      </c>
      <c r="E649">
        <v>2</v>
      </c>
      <c r="F649">
        <v>29</v>
      </c>
    </row>
    <row r="650" spans="1:6" x14ac:dyDescent="0.35">
      <c r="A650" t="s">
        <v>13</v>
      </c>
      <c r="B650">
        <v>501</v>
      </c>
      <c r="C650">
        <v>510</v>
      </c>
      <c r="D650">
        <v>505.5</v>
      </c>
      <c r="E650">
        <v>3</v>
      </c>
      <c r="F650">
        <v>38</v>
      </c>
    </row>
    <row r="651" spans="1:6" x14ac:dyDescent="0.35">
      <c r="A651" t="s">
        <v>13</v>
      </c>
      <c r="B651">
        <v>501</v>
      </c>
      <c r="C651">
        <v>510</v>
      </c>
      <c r="D651">
        <v>505.5</v>
      </c>
      <c r="E651">
        <v>4</v>
      </c>
      <c r="F651">
        <v>21</v>
      </c>
    </row>
    <row r="652" spans="1:6" x14ac:dyDescent="0.35">
      <c r="A652" t="s">
        <v>13</v>
      </c>
      <c r="B652">
        <v>501</v>
      </c>
      <c r="C652">
        <v>510</v>
      </c>
      <c r="D652">
        <v>505.5</v>
      </c>
      <c r="E652">
        <v>5</v>
      </c>
      <c r="F652">
        <v>18</v>
      </c>
    </row>
    <row r="653" spans="1:6" x14ac:dyDescent="0.35">
      <c r="A653" t="s">
        <v>13</v>
      </c>
      <c r="B653">
        <v>501</v>
      </c>
      <c r="C653">
        <v>510</v>
      </c>
      <c r="D653">
        <v>505.5</v>
      </c>
      <c r="E653">
        <v>6</v>
      </c>
      <c r="F653">
        <v>5</v>
      </c>
    </row>
    <row r="654" spans="1:6" x14ac:dyDescent="0.35">
      <c r="A654" t="s">
        <v>13</v>
      </c>
      <c r="B654">
        <v>511</v>
      </c>
      <c r="C654">
        <v>520</v>
      </c>
      <c r="D654">
        <v>515.5</v>
      </c>
      <c r="E654">
        <v>1</v>
      </c>
      <c r="F654">
        <v>14</v>
      </c>
    </row>
    <row r="655" spans="1:6" x14ac:dyDescent="0.35">
      <c r="A655" t="s">
        <v>13</v>
      </c>
      <c r="B655">
        <v>511</v>
      </c>
      <c r="C655">
        <v>520</v>
      </c>
      <c r="D655">
        <v>515.5</v>
      </c>
      <c r="E655">
        <v>2</v>
      </c>
      <c r="F655">
        <v>46</v>
      </c>
    </row>
    <row r="656" spans="1:6" x14ac:dyDescent="0.35">
      <c r="A656" t="s">
        <v>13</v>
      </c>
      <c r="B656">
        <v>511</v>
      </c>
      <c r="C656">
        <v>520</v>
      </c>
      <c r="D656">
        <v>515.5</v>
      </c>
      <c r="E656">
        <v>3</v>
      </c>
      <c r="F656">
        <v>28</v>
      </c>
    </row>
    <row r="657" spans="1:6" x14ac:dyDescent="0.35">
      <c r="A657" t="s">
        <v>13</v>
      </c>
      <c r="B657">
        <v>511</v>
      </c>
      <c r="C657">
        <v>520</v>
      </c>
      <c r="D657">
        <v>515.5</v>
      </c>
      <c r="E657">
        <v>4</v>
      </c>
      <c r="F657">
        <v>27</v>
      </c>
    </row>
    <row r="658" spans="1:6" x14ac:dyDescent="0.35">
      <c r="A658" t="s">
        <v>13</v>
      </c>
      <c r="B658">
        <v>511</v>
      </c>
      <c r="C658">
        <v>520</v>
      </c>
      <c r="D658">
        <v>515.5</v>
      </c>
      <c r="E658">
        <v>5</v>
      </c>
      <c r="F658">
        <v>11</v>
      </c>
    </row>
    <row r="659" spans="1:6" x14ac:dyDescent="0.35">
      <c r="A659" t="s">
        <v>13</v>
      </c>
      <c r="B659">
        <v>511</v>
      </c>
      <c r="C659">
        <v>520</v>
      </c>
      <c r="D659">
        <v>515.5</v>
      </c>
      <c r="E659">
        <v>6</v>
      </c>
      <c r="F659">
        <v>12</v>
      </c>
    </row>
    <row r="660" spans="1:6" x14ac:dyDescent="0.35">
      <c r="A660" t="s">
        <v>13</v>
      </c>
      <c r="B660">
        <v>521</v>
      </c>
      <c r="C660">
        <v>530</v>
      </c>
      <c r="D660">
        <v>525.5</v>
      </c>
      <c r="E660">
        <v>1</v>
      </c>
      <c r="F660">
        <v>19</v>
      </c>
    </row>
    <row r="661" spans="1:6" x14ac:dyDescent="0.35">
      <c r="A661" t="s">
        <v>13</v>
      </c>
      <c r="B661">
        <v>521</v>
      </c>
      <c r="C661">
        <v>530</v>
      </c>
      <c r="D661">
        <v>525.5</v>
      </c>
      <c r="E661">
        <v>2</v>
      </c>
      <c r="F661">
        <v>41</v>
      </c>
    </row>
    <row r="662" spans="1:6" x14ac:dyDescent="0.35">
      <c r="A662" t="s">
        <v>13</v>
      </c>
      <c r="B662">
        <v>521</v>
      </c>
      <c r="C662">
        <v>530</v>
      </c>
      <c r="D662">
        <v>525.5</v>
      </c>
      <c r="E662">
        <v>3</v>
      </c>
      <c r="F662">
        <v>32</v>
      </c>
    </row>
    <row r="663" spans="1:6" x14ac:dyDescent="0.35">
      <c r="A663" t="s">
        <v>13</v>
      </c>
      <c r="B663">
        <v>521</v>
      </c>
      <c r="C663">
        <v>530</v>
      </c>
      <c r="D663">
        <v>525.5</v>
      </c>
      <c r="E663">
        <v>4</v>
      </c>
      <c r="F663">
        <v>23</v>
      </c>
    </row>
    <row r="664" spans="1:6" x14ac:dyDescent="0.35">
      <c r="A664" t="s">
        <v>13</v>
      </c>
      <c r="B664">
        <v>521</v>
      </c>
      <c r="C664">
        <v>530</v>
      </c>
      <c r="D664">
        <v>525.5</v>
      </c>
      <c r="E664">
        <v>5</v>
      </c>
      <c r="F664">
        <v>16</v>
      </c>
    </row>
    <row r="665" spans="1:6" x14ac:dyDescent="0.35">
      <c r="A665" t="s">
        <v>13</v>
      </c>
      <c r="B665">
        <v>521</v>
      </c>
      <c r="C665">
        <v>530</v>
      </c>
      <c r="D665">
        <v>525.5</v>
      </c>
      <c r="E665">
        <v>6</v>
      </c>
      <c r="F665">
        <v>5</v>
      </c>
    </row>
    <row r="666" spans="1:6" x14ac:dyDescent="0.35">
      <c r="A666" t="s">
        <v>13</v>
      </c>
      <c r="B666">
        <v>531</v>
      </c>
      <c r="C666">
        <v>540</v>
      </c>
      <c r="D666">
        <v>535.5</v>
      </c>
      <c r="E666">
        <v>1</v>
      </c>
      <c r="F666">
        <v>24</v>
      </c>
    </row>
    <row r="667" spans="1:6" x14ac:dyDescent="0.35">
      <c r="A667" t="s">
        <v>13</v>
      </c>
      <c r="B667">
        <v>531</v>
      </c>
      <c r="C667">
        <v>540</v>
      </c>
      <c r="D667">
        <v>535.5</v>
      </c>
      <c r="E667">
        <v>2</v>
      </c>
      <c r="F667">
        <v>26</v>
      </c>
    </row>
    <row r="668" spans="1:6" x14ac:dyDescent="0.35">
      <c r="A668" t="s">
        <v>13</v>
      </c>
      <c r="B668">
        <v>531</v>
      </c>
      <c r="C668">
        <v>540</v>
      </c>
      <c r="D668">
        <v>535.5</v>
      </c>
      <c r="E668">
        <v>3</v>
      </c>
      <c r="F668">
        <v>32</v>
      </c>
    </row>
    <row r="669" spans="1:6" x14ac:dyDescent="0.35">
      <c r="A669" t="s">
        <v>13</v>
      </c>
      <c r="B669">
        <v>531</v>
      </c>
      <c r="C669">
        <v>540</v>
      </c>
      <c r="D669">
        <v>535.5</v>
      </c>
      <c r="E669">
        <v>4</v>
      </c>
      <c r="F669">
        <v>16</v>
      </c>
    </row>
    <row r="670" spans="1:6" x14ac:dyDescent="0.35">
      <c r="A670" t="s">
        <v>13</v>
      </c>
      <c r="B670">
        <v>531</v>
      </c>
      <c r="C670">
        <v>540</v>
      </c>
      <c r="D670">
        <v>535.5</v>
      </c>
      <c r="E670">
        <v>5</v>
      </c>
      <c r="F670">
        <v>9</v>
      </c>
    </row>
    <row r="671" spans="1:6" x14ac:dyDescent="0.35">
      <c r="A671" t="s">
        <v>13</v>
      </c>
      <c r="B671">
        <v>531</v>
      </c>
      <c r="C671">
        <v>540</v>
      </c>
      <c r="D671">
        <v>535.5</v>
      </c>
      <c r="E671">
        <v>6</v>
      </c>
      <c r="F671">
        <v>3</v>
      </c>
    </row>
    <row r="672" spans="1:6" x14ac:dyDescent="0.35">
      <c r="A672" t="s">
        <v>13</v>
      </c>
      <c r="B672">
        <v>541</v>
      </c>
      <c r="C672">
        <v>550</v>
      </c>
      <c r="D672">
        <v>545.5</v>
      </c>
      <c r="E672">
        <v>1</v>
      </c>
      <c r="F672">
        <v>23</v>
      </c>
    </row>
    <row r="673" spans="1:6" x14ac:dyDescent="0.35">
      <c r="A673" t="s">
        <v>13</v>
      </c>
      <c r="B673">
        <v>541</v>
      </c>
      <c r="C673">
        <v>550</v>
      </c>
      <c r="D673">
        <v>545.5</v>
      </c>
      <c r="E673">
        <v>2</v>
      </c>
      <c r="F673">
        <v>40</v>
      </c>
    </row>
    <row r="674" spans="1:6" x14ac:dyDescent="0.35">
      <c r="A674" t="s">
        <v>13</v>
      </c>
      <c r="B674">
        <v>541</v>
      </c>
      <c r="C674">
        <v>550</v>
      </c>
      <c r="D674">
        <v>545.5</v>
      </c>
      <c r="E674">
        <v>3</v>
      </c>
      <c r="F674">
        <v>27</v>
      </c>
    </row>
    <row r="675" spans="1:6" x14ac:dyDescent="0.35">
      <c r="A675" t="s">
        <v>13</v>
      </c>
      <c r="B675">
        <v>541</v>
      </c>
      <c r="C675">
        <v>550</v>
      </c>
      <c r="D675">
        <v>545.5</v>
      </c>
      <c r="E675">
        <v>4</v>
      </c>
      <c r="F675">
        <v>22</v>
      </c>
    </row>
    <row r="676" spans="1:6" x14ac:dyDescent="0.35">
      <c r="A676" t="s">
        <v>13</v>
      </c>
      <c r="B676">
        <v>541</v>
      </c>
      <c r="C676">
        <v>550</v>
      </c>
      <c r="D676">
        <v>545.5</v>
      </c>
      <c r="E676">
        <v>5</v>
      </c>
      <c r="F676">
        <v>9</v>
      </c>
    </row>
    <row r="677" spans="1:6" x14ac:dyDescent="0.35">
      <c r="A677" t="s">
        <v>13</v>
      </c>
      <c r="B677">
        <v>541</v>
      </c>
      <c r="C677">
        <v>550</v>
      </c>
      <c r="D677">
        <v>545.5</v>
      </c>
      <c r="E677">
        <v>6</v>
      </c>
      <c r="F677">
        <v>1</v>
      </c>
    </row>
    <row r="678" spans="1:6" x14ac:dyDescent="0.35">
      <c r="A678" t="s">
        <v>13</v>
      </c>
      <c r="B678">
        <v>551</v>
      </c>
      <c r="C678">
        <v>560</v>
      </c>
      <c r="D678">
        <v>555.5</v>
      </c>
      <c r="E678">
        <v>1</v>
      </c>
      <c r="F678">
        <v>21</v>
      </c>
    </row>
    <row r="679" spans="1:6" x14ac:dyDescent="0.35">
      <c r="A679" t="s">
        <v>13</v>
      </c>
      <c r="B679">
        <v>551</v>
      </c>
      <c r="C679">
        <v>560</v>
      </c>
      <c r="D679">
        <v>555.5</v>
      </c>
      <c r="E679">
        <v>2</v>
      </c>
      <c r="F679">
        <v>33</v>
      </c>
    </row>
    <row r="680" spans="1:6" x14ac:dyDescent="0.35">
      <c r="A680" t="s">
        <v>13</v>
      </c>
      <c r="B680">
        <v>551</v>
      </c>
      <c r="C680">
        <v>560</v>
      </c>
      <c r="D680">
        <v>555.5</v>
      </c>
      <c r="E680">
        <v>3</v>
      </c>
      <c r="F680">
        <v>25</v>
      </c>
    </row>
    <row r="681" spans="1:6" x14ac:dyDescent="0.35">
      <c r="A681" t="s">
        <v>13</v>
      </c>
      <c r="B681">
        <v>551</v>
      </c>
      <c r="C681">
        <v>560</v>
      </c>
      <c r="D681">
        <v>555.5</v>
      </c>
      <c r="E681">
        <v>4</v>
      </c>
      <c r="F681">
        <v>15</v>
      </c>
    </row>
    <row r="682" spans="1:6" x14ac:dyDescent="0.35">
      <c r="A682" t="s">
        <v>13</v>
      </c>
      <c r="B682">
        <v>551</v>
      </c>
      <c r="C682">
        <v>560</v>
      </c>
      <c r="D682">
        <v>555.5</v>
      </c>
      <c r="E682">
        <v>5</v>
      </c>
      <c r="F682">
        <v>4</v>
      </c>
    </row>
    <row r="683" spans="1:6" x14ac:dyDescent="0.35">
      <c r="A683" t="s">
        <v>13</v>
      </c>
      <c r="B683">
        <v>551</v>
      </c>
      <c r="C683">
        <v>560</v>
      </c>
      <c r="D683">
        <v>555.5</v>
      </c>
      <c r="E683">
        <v>6</v>
      </c>
      <c r="F683">
        <v>1</v>
      </c>
    </row>
    <row r="684" spans="1:6" x14ac:dyDescent="0.35">
      <c r="A684" t="s">
        <v>13</v>
      </c>
      <c r="B684">
        <v>561</v>
      </c>
      <c r="C684">
        <v>570</v>
      </c>
      <c r="D684">
        <v>565.5</v>
      </c>
      <c r="E684">
        <v>1</v>
      </c>
      <c r="F684">
        <v>12</v>
      </c>
    </row>
    <row r="685" spans="1:6" x14ac:dyDescent="0.35">
      <c r="A685" t="s">
        <v>13</v>
      </c>
      <c r="B685">
        <v>561</v>
      </c>
      <c r="C685">
        <v>570</v>
      </c>
      <c r="D685">
        <v>565.5</v>
      </c>
      <c r="E685">
        <v>2</v>
      </c>
      <c r="F685">
        <v>36</v>
      </c>
    </row>
    <row r="686" spans="1:6" x14ac:dyDescent="0.35">
      <c r="A686" t="s">
        <v>13</v>
      </c>
      <c r="B686">
        <v>561</v>
      </c>
      <c r="C686">
        <v>570</v>
      </c>
      <c r="D686">
        <v>565.5</v>
      </c>
      <c r="E686">
        <v>3</v>
      </c>
      <c r="F686">
        <v>26</v>
      </c>
    </row>
    <row r="687" spans="1:6" x14ac:dyDescent="0.35">
      <c r="A687" t="s">
        <v>13</v>
      </c>
      <c r="B687">
        <v>561</v>
      </c>
      <c r="C687">
        <v>570</v>
      </c>
      <c r="D687">
        <v>565.5</v>
      </c>
      <c r="E687">
        <v>4</v>
      </c>
      <c r="F687">
        <v>17</v>
      </c>
    </row>
    <row r="688" spans="1:6" x14ac:dyDescent="0.35">
      <c r="A688" t="s">
        <v>13</v>
      </c>
      <c r="B688">
        <v>561</v>
      </c>
      <c r="C688">
        <v>570</v>
      </c>
      <c r="D688">
        <v>565.5</v>
      </c>
      <c r="E688">
        <v>5</v>
      </c>
      <c r="F688">
        <v>5</v>
      </c>
    </row>
    <row r="689" spans="1:6" x14ac:dyDescent="0.35">
      <c r="A689" t="s">
        <v>13</v>
      </c>
      <c r="B689">
        <v>561</v>
      </c>
      <c r="C689">
        <v>570</v>
      </c>
      <c r="D689">
        <v>565.5</v>
      </c>
      <c r="E689">
        <v>6</v>
      </c>
      <c r="F689">
        <v>4</v>
      </c>
    </row>
    <row r="690" spans="1:6" x14ac:dyDescent="0.35">
      <c r="A690" t="s">
        <v>13</v>
      </c>
      <c r="B690">
        <v>571</v>
      </c>
      <c r="C690">
        <v>580</v>
      </c>
      <c r="D690">
        <v>575.5</v>
      </c>
      <c r="E690">
        <v>1</v>
      </c>
      <c r="F690">
        <v>14</v>
      </c>
    </row>
    <row r="691" spans="1:6" x14ac:dyDescent="0.35">
      <c r="A691" t="s">
        <v>13</v>
      </c>
      <c r="B691">
        <v>571</v>
      </c>
      <c r="C691">
        <v>580</v>
      </c>
      <c r="D691">
        <v>575.5</v>
      </c>
      <c r="E691">
        <v>2</v>
      </c>
      <c r="F691">
        <v>33</v>
      </c>
    </row>
    <row r="692" spans="1:6" x14ac:dyDescent="0.35">
      <c r="A692" t="s">
        <v>13</v>
      </c>
      <c r="B692">
        <v>571</v>
      </c>
      <c r="C692">
        <v>580</v>
      </c>
      <c r="D692">
        <v>575.5</v>
      </c>
      <c r="E692">
        <v>3</v>
      </c>
      <c r="F692">
        <v>24</v>
      </c>
    </row>
    <row r="693" spans="1:6" x14ac:dyDescent="0.35">
      <c r="A693" t="s">
        <v>13</v>
      </c>
      <c r="B693">
        <v>571</v>
      </c>
      <c r="C693">
        <v>580</v>
      </c>
      <c r="D693">
        <v>575.5</v>
      </c>
      <c r="E693">
        <v>4</v>
      </c>
      <c r="F693">
        <v>9</v>
      </c>
    </row>
    <row r="694" spans="1:6" x14ac:dyDescent="0.35">
      <c r="A694" t="s">
        <v>13</v>
      </c>
      <c r="B694">
        <v>571</v>
      </c>
      <c r="C694">
        <v>580</v>
      </c>
      <c r="D694">
        <v>575.5</v>
      </c>
      <c r="E694">
        <v>5</v>
      </c>
      <c r="F694">
        <v>2</v>
      </c>
    </row>
    <row r="695" spans="1:6" x14ac:dyDescent="0.35">
      <c r="A695" t="s">
        <v>13</v>
      </c>
      <c r="B695">
        <v>581</v>
      </c>
      <c r="C695">
        <v>590</v>
      </c>
      <c r="D695">
        <v>585.5</v>
      </c>
      <c r="E695">
        <v>1</v>
      </c>
      <c r="F695">
        <v>14</v>
      </c>
    </row>
    <row r="696" spans="1:6" x14ac:dyDescent="0.35">
      <c r="A696" t="s">
        <v>13</v>
      </c>
      <c r="B696">
        <v>581</v>
      </c>
      <c r="C696">
        <v>590</v>
      </c>
      <c r="D696">
        <v>585.5</v>
      </c>
      <c r="E696">
        <v>2</v>
      </c>
      <c r="F696">
        <v>29</v>
      </c>
    </row>
    <row r="697" spans="1:6" x14ac:dyDescent="0.35">
      <c r="A697" t="s">
        <v>13</v>
      </c>
      <c r="B697">
        <v>581</v>
      </c>
      <c r="C697">
        <v>590</v>
      </c>
      <c r="D697">
        <v>585.5</v>
      </c>
      <c r="E697">
        <v>3</v>
      </c>
      <c r="F697">
        <v>24</v>
      </c>
    </row>
    <row r="698" spans="1:6" x14ac:dyDescent="0.35">
      <c r="A698" t="s">
        <v>13</v>
      </c>
      <c r="B698">
        <v>581</v>
      </c>
      <c r="C698">
        <v>590</v>
      </c>
      <c r="D698">
        <v>585.5</v>
      </c>
      <c r="E698">
        <v>4</v>
      </c>
      <c r="F698">
        <v>12</v>
      </c>
    </row>
    <row r="699" spans="1:6" x14ac:dyDescent="0.35">
      <c r="A699" t="s">
        <v>13</v>
      </c>
      <c r="B699">
        <v>581</v>
      </c>
      <c r="C699">
        <v>590</v>
      </c>
      <c r="D699">
        <v>585.5</v>
      </c>
      <c r="E699">
        <v>5</v>
      </c>
      <c r="F699">
        <v>4</v>
      </c>
    </row>
    <row r="700" spans="1:6" x14ac:dyDescent="0.35">
      <c r="A700" t="s">
        <v>13</v>
      </c>
      <c r="B700">
        <v>581</v>
      </c>
      <c r="C700">
        <v>590</v>
      </c>
      <c r="D700">
        <v>585.5</v>
      </c>
      <c r="E700">
        <v>6</v>
      </c>
      <c r="F700">
        <v>1</v>
      </c>
    </row>
    <row r="701" spans="1:6" x14ac:dyDescent="0.35">
      <c r="A701" t="s">
        <v>13</v>
      </c>
      <c r="B701">
        <v>591</v>
      </c>
      <c r="C701">
        <v>600</v>
      </c>
      <c r="D701">
        <v>595.5</v>
      </c>
      <c r="E701">
        <v>1</v>
      </c>
      <c r="F701">
        <v>17</v>
      </c>
    </row>
    <row r="702" spans="1:6" x14ac:dyDescent="0.35">
      <c r="A702" t="s">
        <v>13</v>
      </c>
      <c r="B702">
        <v>591</v>
      </c>
      <c r="C702">
        <v>600</v>
      </c>
      <c r="D702">
        <v>595.5</v>
      </c>
      <c r="E702">
        <v>2</v>
      </c>
      <c r="F702">
        <v>18</v>
      </c>
    </row>
    <row r="703" spans="1:6" x14ac:dyDescent="0.35">
      <c r="A703" t="s">
        <v>13</v>
      </c>
      <c r="B703">
        <v>591</v>
      </c>
      <c r="C703">
        <v>600</v>
      </c>
      <c r="D703">
        <v>595.5</v>
      </c>
      <c r="E703">
        <v>3</v>
      </c>
      <c r="F703">
        <v>23</v>
      </c>
    </row>
    <row r="704" spans="1:6" x14ac:dyDescent="0.35">
      <c r="A704" t="s">
        <v>13</v>
      </c>
      <c r="B704">
        <v>591</v>
      </c>
      <c r="C704">
        <v>600</v>
      </c>
      <c r="D704">
        <v>595.5</v>
      </c>
      <c r="E704">
        <v>4</v>
      </c>
      <c r="F704">
        <v>9</v>
      </c>
    </row>
    <row r="705" spans="1:6" x14ac:dyDescent="0.35">
      <c r="A705" t="s">
        <v>13</v>
      </c>
      <c r="B705">
        <v>591</v>
      </c>
      <c r="C705">
        <v>600</v>
      </c>
      <c r="D705">
        <v>595.5</v>
      </c>
      <c r="E705">
        <v>5</v>
      </c>
      <c r="F705">
        <v>7</v>
      </c>
    </row>
    <row r="706" spans="1:6" x14ac:dyDescent="0.35">
      <c r="A706" t="s">
        <v>13</v>
      </c>
      <c r="B706">
        <v>591</v>
      </c>
      <c r="C706">
        <v>600</v>
      </c>
      <c r="D706">
        <v>595.5</v>
      </c>
      <c r="E706">
        <v>6</v>
      </c>
      <c r="F706">
        <v>1</v>
      </c>
    </row>
    <row r="707" spans="1:6" x14ac:dyDescent="0.35">
      <c r="A707" t="s">
        <v>13</v>
      </c>
      <c r="B707">
        <v>601</v>
      </c>
      <c r="C707">
        <v>610</v>
      </c>
      <c r="D707">
        <v>605.5</v>
      </c>
      <c r="E707">
        <v>1</v>
      </c>
      <c r="F707">
        <v>22</v>
      </c>
    </row>
    <row r="708" spans="1:6" x14ac:dyDescent="0.35">
      <c r="A708" t="s">
        <v>13</v>
      </c>
      <c r="B708">
        <v>601</v>
      </c>
      <c r="C708">
        <v>610</v>
      </c>
      <c r="D708">
        <v>605.5</v>
      </c>
      <c r="E708">
        <v>2</v>
      </c>
      <c r="F708">
        <v>32</v>
      </c>
    </row>
    <row r="709" spans="1:6" x14ac:dyDescent="0.35">
      <c r="A709" t="s">
        <v>13</v>
      </c>
      <c r="B709">
        <v>601</v>
      </c>
      <c r="C709">
        <v>610</v>
      </c>
      <c r="D709">
        <v>605.5</v>
      </c>
      <c r="E709">
        <v>3</v>
      </c>
      <c r="F709">
        <v>18</v>
      </c>
    </row>
    <row r="710" spans="1:6" x14ac:dyDescent="0.35">
      <c r="A710" t="s">
        <v>13</v>
      </c>
      <c r="B710">
        <v>601</v>
      </c>
      <c r="C710">
        <v>610</v>
      </c>
      <c r="D710">
        <v>605.5</v>
      </c>
      <c r="E710">
        <v>4</v>
      </c>
      <c r="F710">
        <v>5</v>
      </c>
    </row>
    <row r="711" spans="1:6" x14ac:dyDescent="0.35">
      <c r="A711" t="s">
        <v>13</v>
      </c>
      <c r="B711">
        <v>601</v>
      </c>
      <c r="C711">
        <v>610</v>
      </c>
      <c r="D711">
        <v>605.5</v>
      </c>
      <c r="E711">
        <v>5</v>
      </c>
      <c r="F711">
        <v>1</v>
      </c>
    </row>
    <row r="712" spans="1:6" x14ac:dyDescent="0.35">
      <c r="A712" t="s">
        <v>13</v>
      </c>
      <c r="B712">
        <v>611</v>
      </c>
      <c r="C712">
        <v>620</v>
      </c>
      <c r="D712">
        <v>615.5</v>
      </c>
      <c r="E712">
        <v>1</v>
      </c>
      <c r="F712">
        <v>19</v>
      </c>
    </row>
    <row r="713" spans="1:6" x14ac:dyDescent="0.35">
      <c r="A713" t="s">
        <v>13</v>
      </c>
      <c r="B713">
        <v>611</v>
      </c>
      <c r="C713">
        <v>620</v>
      </c>
      <c r="D713">
        <v>615.5</v>
      </c>
      <c r="E713">
        <v>2</v>
      </c>
      <c r="F713">
        <v>21</v>
      </c>
    </row>
    <row r="714" spans="1:6" x14ac:dyDescent="0.35">
      <c r="A714" t="s">
        <v>13</v>
      </c>
      <c r="B714">
        <v>611</v>
      </c>
      <c r="C714">
        <v>620</v>
      </c>
      <c r="D714">
        <v>615.5</v>
      </c>
      <c r="E714">
        <v>3</v>
      </c>
      <c r="F714">
        <v>21</v>
      </c>
    </row>
    <row r="715" spans="1:6" x14ac:dyDescent="0.35">
      <c r="A715" t="s">
        <v>13</v>
      </c>
      <c r="B715">
        <v>611</v>
      </c>
      <c r="C715">
        <v>620</v>
      </c>
      <c r="D715">
        <v>615.5</v>
      </c>
      <c r="E715">
        <v>4</v>
      </c>
      <c r="F715">
        <v>5</v>
      </c>
    </row>
    <row r="716" spans="1:6" x14ac:dyDescent="0.35">
      <c r="A716" t="s">
        <v>13</v>
      </c>
      <c r="B716">
        <v>611</v>
      </c>
      <c r="C716">
        <v>620</v>
      </c>
      <c r="D716">
        <v>615.5</v>
      </c>
      <c r="E716">
        <v>5</v>
      </c>
      <c r="F716">
        <v>5</v>
      </c>
    </row>
    <row r="717" spans="1:6" x14ac:dyDescent="0.35">
      <c r="A717" t="s">
        <v>13</v>
      </c>
      <c r="B717">
        <v>611</v>
      </c>
      <c r="C717">
        <v>620</v>
      </c>
      <c r="D717">
        <v>615.5</v>
      </c>
      <c r="E717">
        <v>6</v>
      </c>
      <c r="F717">
        <v>1</v>
      </c>
    </row>
    <row r="718" spans="1:6" x14ac:dyDescent="0.35">
      <c r="A718" t="s">
        <v>13</v>
      </c>
      <c r="B718">
        <v>621</v>
      </c>
      <c r="C718">
        <v>630</v>
      </c>
      <c r="D718">
        <v>625.5</v>
      </c>
      <c r="E718">
        <v>1</v>
      </c>
      <c r="F718">
        <v>22</v>
      </c>
    </row>
    <row r="719" spans="1:6" x14ac:dyDescent="0.35">
      <c r="A719" t="s">
        <v>13</v>
      </c>
      <c r="B719">
        <v>621</v>
      </c>
      <c r="C719">
        <v>630</v>
      </c>
      <c r="D719">
        <v>625.5</v>
      </c>
      <c r="E719">
        <v>2</v>
      </c>
      <c r="F719">
        <v>24</v>
      </c>
    </row>
    <row r="720" spans="1:6" x14ac:dyDescent="0.35">
      <c r="A720" t="s">
        <v>13</v>
      </c>
      <c r="B720">
        <v>621</v>
      </c>
      <c r="C720">
        <v>630</v>
      </c>
      <c r="D720">
        <v>625.5</v>
      </c>
      <c r="E720">
        <v>3</v>
      </c>
      <c r="F720">
        <v>17</v>
      </c>
    </row>
    <row r="721" spans="1:6" x14ac:dyDescent="0.35">
      <c r="A721" t="s">
        <v>13</v>
      </c>
      <c r="B721">
        <v>621</v>
      </c>
      <c r="C721">
        <v>630</v>
      </c>
      <c r="D721">
        <v>625.5</v>
      </c>
      <c r="E721">
        <v>4</v>
      </c>
      <c r="F721">
        <v>4</v>
      </c>
    </row>
    <row r="722" spans="1:6" x14ac:dyDescent="0.35">
      <c r="A722" t="s">
        <v>13</v>
      </c>
      <c r="B722">
        <v>621</v>
      </c>
      <c r="C722">
        <v>630</v>
      </c>
      <c r="D722">
        <v>625.5</v>
      </c>
      <c r="E722">
        <v>5</v>
      </c>
      <c r="F722">
        <v>4</v>
      </c>
    </row>
    <row r="723" spans="1:6" x14ac:dyDescent="0.35">
      <c r="A723" t="s">
        <v>13</v>
      </c>
      <c r="B723">
        <v>621</v>
      </c>
      <c r="C723">
        <v>630</v>
      </c>
      <c r="D723">
        <v>625.5</v>
      </c>
      <c r="E723">
        <v>6</v>
      </c>
      <c r="F723">
        <v>4</v>
      </c>
    </row>
    <row r="724" spans="1:6" x14ac:dyDescent="0.35">
      <c r="A724" t="s">
        <v>13</v>
      </c>
      <c r="B724">
        <v>631</v>
      </c>
      <c r="C724">
        <v>640</v>
      </c>
      <c r="D724">
        <v>635.5</v>
      </c>
      <c r="E724">
        <v>1</v>
      </c>
      <c r="F724">
        <v>22</v>
      </c>
    </row>
    <row r="725" spans="1:6" x14ac:dyDescent="0.35">
      <c r="A725" t="s">
        <v>13</v>
      </c>
      <c r="B725">
        <v>631</v>
      </c>
      <c r="C725">
        <v>640</v>
      </c>
      <c r="D725">
        <v>635.5</v>
      </c>
      <c r="E725">
        <v>2</v>
      </c>
      <c r="F725">
        <v>23</v>
      </c>
    </row>
    <row r="726" spans="1:6" x14ac:dyDescent="0.35">
      <c r="A726" t="s">
        <v>13</v>
      </c>
      <c r="B726">
        <v>631</v>
      </c>
      <c r="C726">
        <v>640</v>
      </c>
      <c r="D726">
        <v>635.5</v>
      </c>
      <c r="E726">
        <v>3</v>
      </c>
      <c r="F726">
        <v>24</v>
      </c>
    </row>
    <row r="727" spans="1:6" x14ac:dyDescent="0.35">
      <c r="A727" t="s">
        <v>13</v>
      </c>
      <c r="B727">
        <v>631</v>
      </c>
      <c r="C727">
        <v>640</v>
      </c>
      <c r="D727">
        <v>635.5</v>
      </c>
      <c r="E727">
        <v>4</v>
      </c>
      <c r="F727">
        <v>11</v>
      </c>
    </row>
    <row r="728" spans="1:6" x14ac:dyDescent="0.35">
      <c r="A728" t="s">
        <v>13</v>
      </c>
      <c r="B728">
        <v>631</v>
      </c>
      <c r="C728">
        <v>640</v>
      </c>
      <c r="D728">
        <v>635.5</v>
      </c>
      <c r="E728">
        <v>5</v>
      </c>
      <c r="F728">
        <v>2</v>
      </c>
    </row>
    <row r="729" spans="1:6" x14ac:dyDescent="0.35">
      <c r="A729" t="s">
        <v>13</v>
      </c>
      <c r="B729">
        <v>631</v>
      </c>
      <c r="C729">
        <v>640</v>
      </c>
      <c r="D729">
        <v>635.5</v>
      </c>
      <c r="E729">
        <v>6</v>
      </c>
      <c r="F729">
        <v>1</v>
      </c>
    </row>
    <row r="730" spans="1:6" x14ac:dyDescent="0.35">
      <c r="A730" t="s">
        <v>13</v>
      </c>
      <c r="B730">
        <v>641</v>
      </c>
      <c r="C730">
        <v>650</v>
      </c>
      <c r="D730">
        <v>645.5</v>
      </c>
      <c r="E730">
        <v>1</v>
      </c>
      <c r="F730">
        <v>18</v>
      </c>
    </row>
    <row r="731" spans="1:6" x14ac:dyDescent="0.35">
      <c r="A731" t="s">
        <v>13</v>
      </c>
      <c r="B731">
        <v>641</v>
      </c>
      <c r="C731">
        <v>650</v>
      </c>
      <c r="D731">
        <v>645.5</v>
      </c>
      <c r="E731">
        <v>2</v>
      </c>
      <c r="F731">
        <v>30</v>
      </c>
    </row>
    <row r="732" spans="1:6" x14ac:dyDescent="0.35">
      <c r="A732" t="s">
        <v>13</v>
      </c>
      <c r="B732">
        <v>641</v>
      </c>
      <c r="C732">
        <v>650</v>
      </c>
      <c r="D732">
        <v>645.5</v>
      </c>
      <c r="E732">
        <v>3</v>
      </c>
      <c r="F732">
        <v>21</v>
      </c>
    </row>
    <row r="733" spans="1:6" x14ac:dyDescent="0.35">
      <c r="A733" t="s">
        <v>13</v>
      </c>
      <c r="B733">
        <v>641</v>
      </c>
      <c r="C733">
        <v>650</v>
      </c>
      <c r="D733">
        <v>645.5</v>
      </c>
      <c r="E733">
        <v>4</v>
      </c>
      <c r="F733">
        <v>4</v>
      </c>
    </row>
    <row r="734" spans="1:6" x14ac:dyDescent="0.35">
      <c r="A734" t="s">
        <v>13</v>
      </c>
      <c r="B734">
        <v>641</v>
      </c>
      <c r="C734">
        <v>650</v>
      </c>
      <c r="D734">
        <v>645.5</v>
      </c>
      <c r="E734">
        <v>5</v>
      </c>
      <c r="F734">
        <v>4</v>
      </c>
    </row>
    <row r="735" spans="1:6" x14ac:dyDescent="0.35">
      <c r="A735" t="s">
        <v>13</v>
      </c>
      <c r="B735">
        <v>651</v>
      </c>
      <c r="C735">
        <v>660</v>
      </c>
      <c r="D735">
        <v>655.5</v>
      </c>
      <c r="E735">
        <v>1</v>
      </c>
      <c r="F735">
        <v>14</v>
      </c>
    </row>
    <row r="736" spans="1:6" x14ac:dyDescent="0.35">
      <c r="A736" t="s">
        <v>13</v>
      </c>
      <c r="B736">
        <v>651</v>
      </c>
      <c r="C736">
        <v>660</v>
      </c>
      <c r="D736">
        <v>655.5</v>
      </c>
      <c r="E736">
        <v>2</v>
      </c>
      <c r="F736">
        <v>19</v>
      </c>
    </row>
    <row r="737" spans="1:6" x14ac:dyDescent="0.35">
      <c r="A737" t="s">
        <v>13</v>
      </c>
      <c r="B737">
        <v>651</v>
      </c>
      <c r="C737">
        <v>660</v>
      </c>
      <c r="D737">
        <v>655.5</v>
      </c>
      <c r="E737">
        <v>3</v>
      </c>
      <c r="F737">
        <v>18</v>
      </c>
    </row>
    <row r="738" spans="1:6" x14ac:dyDescent="0.35">
      <c r="A738" t="s">
        <v>13</v>
      </c>
      <c r="B738">
        <v>651</v>
      </c>
      <c r="C738">
        <v>660</v>
      </c>
      <c r="D738">
        <v>655.5</v>
      </c>
      <c r="E738">
        <v>4</v>
      </c>
      <c r="F738">
        <v>6</v>
      </c>
    </row>
    <row r="739" spans="1:6" x14ac:dyDescent="0.35">
      <c r="A739" t="s">
        <v>13</v>
      </c>
      <c r="B739">
        <v>651</v>
      </c>
      <c r="C739">
        <v>660</v>
      </c>
      <c r="D739">
        <v>655.5</v>
      </c>
      <c r="E739">
        <v>5</v>
      </c>
      <c r="F739">
        <v>5</v>
      </c>
    </row>
    <row r="740" spans="1:6" x14ac:dyDescent="0.35">
      <c r="A740" t="s">
        <v>13</v>
      </c>
      <c r="B740">
        <v>661</v>
      </c>
      <c r="C740">
        <v>670</v>
      </c>
      <c r="D740">
        <v>665.5</v>
      </c>
      <c r="E740">
        <v>1</v>
      </c>
      <c r="F740">
        <v>158</v>
      </c>
    </row>
    <row r="741" spans="1:6" x14ac:dyDescent="0.35">
      <c r="A741" t="s">
        <v>13</v>
      </c>
      <c r="B741">
        <v>661</v>
      </c>
      <c r="C741">
        <v>670</v>
      </c>
      <c r="D741">
        <v>665.5</v>
      </c>
      <c r="E741">
        <v>2</v>
      </c>
      <c r="F741">
        <v>144</v>
      </c>
    </row>
    <row r="742" spans="1:6" x14ac:dyDescent="0.35">
      <c r="A742" t="s">
        <v>13</v>
      </c>
      <c r="B742">
        <v>661</v>
      </c>
      <c r="C742">
        <v>670</v>
      </c>
      <c r="D742">
        <v>665.5</v>
      </c>
      <c r="E742">
        <v>3</v>
      </c>
      <c r="F742">
        <v>68</v>
      </c>
    </row>
    <row r="743" spans="1:6" x14ac:dyDescent="0.35">
      <c r="A743" t="s">
        <v>13</v>
      </c>
      <c r="B743">
        <v>661</v>
      </c>
      <c r="C743">
        <v>670</v>
      </c>
      <c r="D743">
        <v>665.5</v>
      </c>
      <c r="E743">
        <v>4</v>
      </c>
      <c r="F743">
        <v>18</v>
      </c>
    </row>
    <row r="744" spans="1:6" x14ac:dyDescent="0.35">
      <c r="A744" t="s">
        <v>13</v>
      </c>
      <c r="B744">
        <v>661</v>
      </c>
      <c r="C744">
        <v>670</v>
      </c>
      <c r="D744">
        <v>665.5</v>
      </c>
      <c r="E744">
        <v>5</v>
      </c>
      <c r="F744">
        <v>4</v>
      </c>
    </row>
    <row r="745" spans="1:6" x14ac:dyDescent="0.35">
      <c r="A745" t="s">
        <v>13</v>
      </c>
      <c r="B745">
        <v>661</v>
      </c>
      <c r="C745">
        <v>670</v>
      </c>
      <c r="D745">
        <v>665.5</v>
      </c>
      <c r="E745">
        <v>6</v>
      </c>
      <c r="F745">
        <v>2</v>
      </c>
    </row>
    <row r="746" spans="1:6" x14ac:dyDescent="0.35">
      <c r="A746" t="s">
        <v>13</v>
      </c>
      <c r="B746">
        <v>671</v>
      </c>
      <c r="C746">
        <v>680</v>
      </c>
      <c r="D746">
        <v>675.5</v>
      </c>
      <c r="E746">
        <v>1</v>
      </c>
      <c r="F746">
        <v>29</v>
      </c>
    </row>
    <row r="747" spans="1:6" x14ac:dyDescent="0.35">
      <c r="A747" t="s">
        <v>13</v>
      </c>
      <c r="B747">
        <v>671</v>
      </c>
      <c r="C747">
        <v>680</v>
      </c>
      <c r="D747">
        <v>675.5</v>
      </c>
      <c r="E747">
        <v>2</v>
      </c>
      <c r="F747">
        <v>8</v>
      </c>
    </row>
    <row r="748" spans="1:6" x14ac:dyDescent="0.35">
      <c r="A748" t="s">
        <v>13</v>
      </c>
      <c r="B748">
        <v>671</v>
      </c>
      <c r="C748">
        <v>680</v>
      </c>
      <c r="D748">
        <v>675.5</v>
      </c>
      <c r="E748">
        <v>3</v>
      </c>
      <c r="F748">
        <v>2</v>
      </c>
    </row>
    <row r="749" spans="1:6" x14ac:dyDescent="0.35">
      <c r="A749" t="s">
        <v>13</v>
      </c>
      <c r="B749">
        <v>671</v>
      </c>
      <c r="C749">
        <v>680</v>
      </c>
      <c r="D749">
        <v>675.5</v>
      </c>
      <c r="E749">
        <v>4</v>
      </c>
      <c r="F749">
        <v>1</v>
      </c>
    </row>
    <row r="750" spans="1:6" x14ac:dyDescent="0.35">
      <c r="A750" t="s">
        <v>13</v>
      </c>
      <c r="B750">
        <v>681</v>
      </c>
      <c r="C750">
        <v>690</v>
      </c>
      <c r="D750">
        <v>685.5</v>
      </c>
      <c r="E750">
        <v>1</v>
      </c>
      <c r="F750">
        <v>20</v>
      </c>
    </row>
    <row r="751" spans="1:6" x14ac:dyDescent="0.35">
      <c r="A751" t="s">
        <v>13</v>
      </c>
      <c r="B751">
        <v>681</v>
      </c>
      <c r="C751">
        <v>690</v>
      </c>
      <c r="D751">
        <v>685.5</v>
      </c>
      <c r="E751">
        <v>2</v>
      </c>
      <c r="F751">
        <v>6</v>
      </c>
    </row>
    <row r="752" spans="1:6" x14ac:dyDescent="0.35">
      <c r="A752" t="s">
        <v>13</v>
      </c>
      <c r="B752">
        <v>681</v>
      </c>
      <c r="C752">
        <v>690</v>
      </c>
      <c r="D752">
        <v>685.5</v>
      </c>
      <c r="E752">
        <v>3</v>
      </c>
      <c r="F752">
        <v>4</v>
      </c>
    </row>
    <row r="753" spans="1:6" x14ac:dyDescent="0.35">
      <c r="A753" t="s">
        <v>13</v>
      </c>
      <c r="B753">
        <v>681</v>
      </c>
      <c r="C753">
        <v>690</v>
      </c>
      <c r="D753">
        <v>685.5</v>
      </c>
      <c r="E753">
        <v>4</v>
      </c>
      <c r="F753">
        <v>1</v>
      </c>
    </row>
    <row r="754" spans="1:6" x14ac:dyDescent="0.35">
      <c r="A754" t="s">
        <v>13</v>
      </c>
      <c r="B754">
        <v>691</v>
      </c>
      <c r="C754">
        <v>700</v>
      </c>
      <c r="D754">
        <v>695.5</v>
      </c>
      <c r="E754">
        <v>1</v>
      </c>
      <c r="F754">
        <v>17</v>
      </c>
    </row>
    <row r="755" spans="1:6" x14ac:dyDescent="0.35">
      <c r="A755" t="s">
        <v>13</v>
      </c>
      <c r="B755">
        <v>691</v>
      </c>
      <c r="C755">
        <v>700</v>
      </c>
      <c r="D755">
        <v>695.5</v>
      </c>
      <c r="E755">
        <v>2</v>
      </c>
      <c r="F755">
        <v>7</v>
      </c>
    </row>
    <row r="756" spans="1:6" x14ac:dyDescent="0.35">
      <c r="A756" t="s">
        <v>13</v>
      </c>
      <c r="B756">
        <v>691</v>
      </c>
      <c r="C756">
        <v>700</v>
      </c>
      <c r="D756">
        <v>695.5</v>
      </c>
      <c r="E756">
        <v>3</v>
      </c>
      <c r="F756">
        <v>5</v>
      </c>
    </row>
    <row r="757" spans="1:6" x14ac:dyDescent="0.35">
      <c r="A757" t="s">
        <v>13</v>
      </c>
      <c r="B757">
        <v>691</v>
      </c>
      <c r="C757">
        <v>700</v>
      </c>
      <c r="D757">
        <v>695.5</v>
      </c>
      <c r="E757">
        <v>4</v>
      </c>
      <c r="F757">
        <v>2</v>
      </c>
    </row>
    <row r="758" spans="1:6" x14ac:dyDescent="0.35">
      <c r="A758" t="s">
        <v>13</v>
      </c>
      <c r="B758">
        <v>701</v>
      </c>
      <c r="C758">
        <v>710</v>
      </c>
      <c r="D758">
        <v>705.5</v>
      </c>
      <c r="E758">
        <v>1</v>
      </c>
      <c r="F758">
        <v>148</v>
      </c>
    </row>
    <row r="759" spans="1:6" x14ac:dyDescent="0.35">
      <c r="A759" t="s">
        <v>13</v>
      </c>
      <c r="B759">
        <v>701</v>
      </c>
      <c r="C759">
        <v>710</v>
      </c>
      <c r="D759">
        <v>705.5</v>
      </c>
      <c r="E759">
        <v>2</v>
      </c>
      <c r="F759">
        <v>59</v>
      </c>
    </row>
    <row r="760" spans="1:6" x14ac:dyDescent="0.35">
      <c r="A760" t="s">
        <v>13</v>
      </c>
      <c r="B760">
        <v>701</v>
      </c>
      <c r="C760">
        <v>710</v>
      </c>
      <c r="D760">
        <v>705.5</v>
      </c>
      <c r="E760">
        <v>3</v>
      </c>
      <c r="F760">
        <v>11</v>
      </c>
    </row>
    <row r="761" spans="1:6" x14ac:dyDescent="0.35">
      <c r="A761" t="s">
        <v>13</v>
      </c>
      <c r="B761">
        <v>701</v>
      </c>
      <c r="C761">
        <v>710</v>
      </c>
      <c r="D761">
        <v>705.5</v>
      </c>
      <c r="E761">
        <v>4</v>
      </c>
      <c r="F761">
        <v>1</v>
      </c>
    </row>
    <row r="762" spans="1:6" x14ac:dyDescent="0.35">
      <c r="A762" t="s">
        <v>13</v>
      </c>
      <c r="B762">
        <v>701</v>
      </c>
      <c r="C762">
        <v>710</v>
      </c>
      <c r="D762">
        <v>705.5</v>
      </c>
      <c r="E762">
        <v>5</v>
      </c>
      <c r="F762">
        <v>1</v>
      </c>
    </row>
    <row r="763" spans="1:6" x14ac:dyDescent="0.35">
      <c r="A763" t="s">
        <v>13</v>
      </c>
      <c r="B763">
        <v>711</v>
      </c>
      <c r="C763">
        <v>720</v>
      </c>
      <c r="D763">
        <v>715.5</v>
      </c>
      <c r="E763">
        <v>1</v>
      </c>
      <c r="F763">
        <v>19</v>
      </c>
    </row>
    <row r="764" spans="1:6" x14ac:dyDescent="0.35">
      <c r="A764" t="s">
        <v>13</v>
      </c>
      <c r="B764">
        <v>711</v>
      </c>
      <c r="C764">
        <v>720</v>
      </c>
      <c r="D764">
        <v>715.5</v>
      </c>
      <c r="E764">
        <v>2</v>
      </c>
      <c r="F764">
        <v>1</v>
      </c>
    </row>
    <row r="765" spans="1:6" x14ac:dyDescent="0.35">
      <c r="A765" t="s">
        <v>13</v>
      </c>
      <c r="B765">
        <v>721</v>
      </c>
      <c r="C765">
        <v>730</v>
      </c>
      <c r="D765">
        <v>725.5</v>
      </c>
      <c r="E765">
        <v>1</v>
      </c>
      <c r="F765">
        <v>26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5718B-A12C-4CD8-BDE8-1BB827124C60}">
  <dimension ref="A1:E6"/>
  <sheetViews>
    <sheetView workbookViewId="0">
      <selection activeCell="A10" sqref="A10"/>
    </sheetView>
  </sheetViews>
  <sheetFormatPr defaultRowHeight="14.5" x14ac:dyDescent="0.35"/>
  <cols>
    <col min="1" max="1" width="28.1796875" bestFit="1" customWidth="1"/>
    <col min="2" max="2" width="22.453125" bestFit="1" customWidth="1"/>
    <col min="3" max="3" width="26.453125" bestFit="1" customWidth="1"/>
    <col min="4" max="4" width="29.7265625" bestFit="1" customWidth="1"/>
    <col min="5" max="5" width="35" bestFit="1" customWidth="1"/>
  </cols>
  <sheetData>
    <row r="1" spans="1:5" x14ac:dyDescent="0.35">
      <c r="A1" t="s">
        <v>14</v>
      </c>
      <c r="B1" t="s">
        <v>0</v>
      </c>
      <c r="C1" t="s">
        <v>1</v>
      </c>
      <c r="D1" t="s">
        <v>2</v>
      </c>
      <c r="E1" t="s">
        <v>3</v>
      </c>
    </row>
    <row r="2" spans="1:5" x14ac:dyDescent="0.35">
      <c r="A2" s="6" t="s">
        <v>99</v>
      </c>
      <c r="B2">
        <v>5704</v>
      </c>
      <c r="C2">
        <v>1755</v>
      </c>
      <c r="D2">
        <v>30.77</v>
      </c>
      <c r="E2">
        <v>15334.17</v>
      </c>
    </row>
    <row r="3" spans="1:5" x14ac:dyDescent="0.35">
      <c r="A3" s="6" t="s">
        <v>100</v>
      </c>
      <c r="B3">
        <v>15014</v>
      </c>
      <c r="C3">
        <v>4535</v>
      </c>
      <c r="D3">
        <v>30.21</v>
      </c>
      <c r="E3">
        <v>15999.16</v>
      </c>
    </row>
    <row r="4" spans="1:5" x14ac:dyDescent="0.35">
      <c r="A4" s="6" t="s">
        <v>97</v>
      </c>
      <c r="B4">
        <v>15175</v>
      </c>
      <c r="C4">
        <v>4704</v>
      </c>
      <c r="D4">
        <v>31</v>
      </c>
      <c r="E4">
        <v>15818.89</v>
      </c>
    </row>
    <row r="5" spans="1:5" x14ac:dyDescent="0.35">
      <c r="A5" s="6" t="s">
        <v>96</v>
      </c>
      <c r="B5">
        <v>7896</v>
      </c>
      <c r="C5">
        <v>2536</v>
      </c>
      <c r="D5">
        <v>32.119999999999997</v>
      </c>
      <c r="E5">
        <v>16910.03</v>
      </c>
    </row>
    <row r="6" spans="1:5" x14ac:dyDescent="0.35">
      <c r="A6" s="6" t="s">
        <v>95</v>
      </c>
      <c r="B6">
        <v>4046</v>
      </c>
      <c r="C6">
        <v>1521</v>
      </c>
      <c r="D6">
        <v>37.590000000000003</v>
      </c>
      <c r="E6">
        <v>21045.35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7680F-97F1-45AF-AFEB-0605E225161E}">
  <dimension ref="A1:E11"/>
  <sheetViews>
    <sheetView workbookViewId="0">
      <selection activeCell="A7" sqref="A7:C11"/>
    </sheetView>
  </sheetViews>
  <sheetFormatPr defaultRowHeight="14.5" x14ac:dyDescent="0.35"/>
  <cols>
    <col min="1" max="1" width="27.26953125" bestFit="1" customWidth="1"/>
    <col min="2" max="2" width="22.453125" bestFit="1" customWidth="1"/>
    <col min="3" max="3" width="26.453125" bestFit="1" customWidth="1"/>
    <col min="4" max="4" width="29.7265625" bestFit="1" customWidth="1"/>
    <col min="5" max="5" width="35" bestFit="1" customWidth="1"/>
  </cols>
  <sheetData>
    <row r="1" spans="1:5" x14ac:dyDescent="0.35">
      <c r="A1" t="s">
        <v>15</v>
      </c>
      <c r="B1" t="s">
        <v>0</v>
      </c>
      <c r="C1" t="s">
        <v>1</v>
      </c>
      <c r="D1" t="s">
        <v>2</v>
      </c>
      <c r="E1" t="s">
        <v>3</v>
      </c>
    </row>
    <row r="2" spans="1:5" x14ac:dyDescent="0.35">
      <c r="A2" t="s">
        <v>16</v>
      </c>
      <c r="B2">
        <v>11959</v>
      </c>
      <c r="C2">
        <v>3627</v>
      </c>
      <c r="D2">
        <v>30.33</v>
      </c>
      <c r="E2">
        <v>16014.5</v>
      </c>
    </row>
    <row r="3" spans="1:5" x14ac:dyDescent="0.35">
      <c r="A3" t="s">
        <v>17</v>
      </c>
      <c r="B3">
        <v>11959</v>
      </c>
      <c r="C3">
        <v>3765</v>
      </c>
      <c r="D3">
        <v>31.48</v>
      </c>
      <c r="E3">
        <v>15914.35</v>
      </c>
    </row>
    <row r="4" spans="1:5" x14ac:dyDescent="0.35">
      <c r="A4" t="s">
        <v>18</v>
      </c>
      <c r="B4">
        <v>11959</v>
      </c>
      <c r="C4">
        <v>3772</v>
      </c>
      <c r="D4">
        <v>31.54</v>
      </c>
      <c r="E4">
        <v>16603.740000000002</v>
      </c>
    </row>
    <row r="5" spans="1:5" x14ac:dyDescent="0.35">
      <c r="A5" t="s">
        <v>19</v>
      </c>
      <c r="B5">
        <v>11958</v>
      </c>
      <c r="C5">
        <v>3887</v>
      </c>
      <c r="D5">
        <v>32.51</v>
      </c>
      <c r="E5">
        <v>17226.86</v>
      </c>
    </row>
    <row r="7" spans="1:5" x14ac:dyDescent="0.35">
      <c r="A7" s="25" t="s">
        <v>74</v>
      </c>
      <c r="B7" s="26" t="s">
        <v>75</v>
      </c>
      <c r="C7" s="26" t="s">
        <v>80</v>
      </c>
    </row>
    <row r="8" spans="1:5" x14ac:dyDescent="0.35">
      <c r="A8" s="21" t="s">
        <v>76</v>
      </c>
      <c r="B8" s="21" cm="1">
        <f t="array" ref="B8:B11">Historical_Spending_Analysis[future_repeat_purchase_rate]</f>
        <v>30.33</v>
      </c>
      <c r="C8" s="21" cm="1">
        <f t="array" ref="C8:C11">Historical_AOV_Analysis[future_repeat_purchase_rate]</f>
        <v>30.63</v>
      </c>
    </row>
    <row r="9" spans="1:5" x14ac:dyDescent="0.35">
      <c r="A9" s="21" t="s">
        <v>77</v>
      </c>
      <c r="B9" s="21">
        <v>31.48</v>
      </c>
      <c r="C9" s="21">
        <v>32.159999999999997</v>
      </c>
    </row>
    <row r="10" spans="1:5" x14ac:dyDescent="0.35">
      <c r="A10" s="21" t="s">
        <v>78</v>
      </c>
      <c r="B10" s="21">
        <v>31.54</v>
      </c>
      <c r="C10" s="21">
        <v>31.51</v>
      </c>
    </row>
    <row r="11" spans="1:5" x14ac:dyDescent="0.35">
      <c r="A11" s="21" t="s">
        <v>79</v>
      </c>
      <c r="B11" s="21">
        <v>32.51</v>
      </c>
      <c r="C11" s="21">
        <v>31.56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E3FCB-1274-47C1-BF49-82FB7F14467E}">
  <dimension ref="A1:E5"/>
  <sheetViews>
    <sheetView workbookViewId="0">
      <selection activeCell="E29" sqref="E29"/>
    </sheetView>
  </sheetViews>
  <sheetFormatPr defaultRowHeight="14.5" x14ac:dyDescent="0.35"/>
  <cols>
    <col min="1" max="1" width="22" bestFit="1" customWidth="1"/>
    <col min="2" max="2" width="22.453125" bestFit="1" customWidth="1"/>
    <col min="3" max="3" width="26.453125" bestFit="1" customWidth="1"/>
    <col min="4" max="4" width="29.7265625" bestFit="1" customWidth="1"/>
    <col min="5" max="5" width="35" bestFit="1" customWidth="1"/>
  </cols>
  <sheetData>
    <row r="1" spans="1:5" x14ac:dyDescent="0.35">
      <c r="A1" t="s">
        <v>20</v>
      </c>
      <c r="B1" t="s">
        <v>0</v>
      </c>
      <c r="C1" t="s">
        <v>1</v>
      </c>
      <c r="D1" t="s">
        <v>2</v>
      </c>
      <c r="E1" t="s">
        <v>3</v>
      </c>
    </row>
    <row r="2" spans="1:5" x14ac:dyDescent="0.35">
      <c r="A2" t="s">
        <v>21</v>
      </c>
      <c r="B2">
        <v>11959</v>
      </c>
      <c r="C2">
        <v>3663</v>
      </c>
      <c r="D2">
        <v>30.63</v>
      </c>
      <c r="E2">
        <v>16192.79</v>
      </c>
    </row>
    <row r="3" spans="1:5" x14ac:dyDescent="0.35">
      <c r="A3" t="s">
        <v>22</v>
      </c>
      <c r="B3">
        <v>11959</v>
      </c>
      <c r="C3">
        <v>3846</v>
      </c>
      <c r="D3">
        <v>32.159999999999997</v>
      </c>
      <c r="E3">
        <v>17155.04</v>
      </c>
    </row>
    <row r="4" spans="1:5" x14ac:dyDescent="0.35">
      <c r="A4" t="s">
        <v>23</v>
      </c>
      <c r="B4">
        <v>11959</v>
      </c>
      <c r="C4">
        <v>3768</v>
      </c>
      <c r="D4">
        <v>31.51</v>
      </c>
      <c r="E4">
        <v>15549.37</v>
      </c>
    </row>
    <row r="5" spans="1:5" x14ac:dyDescent="0.35">
      <c r="A5" t="s">
        <v>24</v>
      </c>
      <c r="B5">
        <v>11958</v>
      </c>
      <c r="C5">
        <v>3774</v>
      </c>
      <c r="D5">
        <v>31.56</v>
      </c>
      <c r="E5">
        <v>16862.22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EDAB6-7D27-4BBE-AE7C-6E2244DBC359}">
  <dimension ref="A1:E6"/>
  <sheetViews>
    <sheetView workbookViewId="0">
      <selection activeCell="A13" sqref="A13"/>
    </sheetView>
  </sheetViews>
  <sheetFormatPr defaultRowHeight="14.5" x14ac:dyDescent="0.35"/>
  <cols>
    <col min="1" max="1" width="16.54296875" bestFit="1" customWidth="1"/>
    <col min="2" max="2" width="22.453125" bestFit="1" customWidth="1"/>
    <col min="3" max="3" width="26.453125" bestFit="1" customWidth="1"/>
    <col min="4" max="4" width="29.7265625" bestFit="1" customWidth="1"/>
    <col min="5" max="5" width="35" bestFit="1" customWidth="1"/>
  </cols>
  <sheetData>
    <row r="1" spans="1:5" x14ac:dyDescent="0.35">
      <c r="A1" t="s">
        <v>25</v>
      </c>
      <c r="B1" t="s">
        <v>0</v>
      </c>
      <c r="C1" t="s">
        <v>1</v>
      </c>
      <c r="D1" t="s">
        <v>2</v>
      </c>
      <c r="E1" t="s">
        <v>3</v>
      </c>
    </row>
    <row r="2" spans="1:5" x14ac:dyDescent="0.35">
      <c r="A2" t="s">
        <v>101</v>
      </c>
      <c r="B2">
        <v>7839</v>
      </c>
      <c r="C2">
        <v>2569</v>
      </c>
      <c r="D2">
        <v>32.770000000000003</v>
      </c>
      <c r="E2">
        <v>17775.97</v>
      </c>
    </row>
    <row r="3" spans="1:5" x14ac:dyDescent="0.35">
      <c r="A3" t="s">
        <v>102</v>
      </c>
      <c r="B3">
        <v>12052</v>
      </c>
      <c r="C3">
        <v>3903</v>
      </c>
      <c r="D3">
        <v>32.380000000000003</v>
      </c>
      <c r="E3">
        <v>16928.23</v>
      </c>
    </row>
    <row r="4" spans="1:5" x14ac:dyDescent="0.35">
      <c r="A4" t="s">
        <v>103</v>
      </c>
      <c r="B4">
        <v>11563</v>
      </c>
      <c r="C4">
        <v>3578</v>
      </c>
      <c r="D4">
        <v>30.94</v>
      </c>
      <c r="E4">
        <v>15633.09</v>
      </c>
    </row>
    <row r="5" spans="1:5" x14ac:dyDescent="0.35">
      <c r="A5" t="s">
        <v>104</v>
      </c>
      <c r="B5">
        <v>10971</v>
      </c>
      <c r="C5">
        <v>3407</v>
      </c>
      <c r="D5">
        <v>31.05</v>
      </c>
      <c r="E5">
        <v>16079.58</v>
      </c>
    </row>
    <row r="6" spans="1:5" x14ac:dyDescent="0.35">
      <c r="A6" t="s">
        <v>105</v>
      </c>
      <c r="B6">
        <v>5410</v>
      </c>
      <c r="C6">
        <v>1594</v>
      </c>
      <c r="D6">
        <v>29.46</v>
      </c>
      <c r="E6">
        <v>15870.75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3978-E369-4D92-9014-AE8F7FA65D57}">
  <dimension ref="A1:D5"/>
  <sheetViews>
    <sheetView workbookViewId="0">
      <selection activeCell="A7" sqref="A7"/>
    </sheetView>
  </sheetViews>
  <sheetFormatPr defaultRowHeight="14.5" x14ac:dyDescent="0.35"/>
  <cols>
    <col min="1" max="1" width="20.7265625" bestFit="1" customWidth="1"/>
    <col min="2" max="2" width="22.453125" bestFit="1" customWidth="1"/>
    <col min="3" max="3" width="26.453125" bestFit="1" customWidth="1"/>
    <col min="4" max="4" width="29.7265625" bestFit="1" customWidth="1"/>
  </cols>
  <sheetData>
    <row r="1" spans="1:4" x14ac:dyDescent="0.35">
      <c r="A1" t="s">
        <v>26</v>
      </c>
      <c r="B1" t="s">
        <v>0</v>
      </c>
      <c r="C1" t="s">
        <v>1</v>
      </c>
      <c r="D1" t="s">
        <v>2</v>
      </c>
    </row>
    <row r="2" spans="1:4" x14ac:dyDescent="0.35">
      <c r="A2" s="6" t="s">
        <v>94</v>
      </c>
      <c r="B2">
        <v>11201</v>
      </c>
      <c r="C2">
        <v>3496</v>
      </c>
      <c r="D2">
        <v>31.21</v>
      </c>
    </row>
    <row r="3" spans="1:4" x14ac:dyDescent="0.35">
      <c r="A3" s="6" t="s">
        <v>97</v>
      </c>
      <c r="B3">
        <v>14359</v>
      </c>
      <c r="C3">
        <v>4411</v>
      </c>
      <c r="D3">
        <v>30.72</v>
      </c>
    </row>
    <row r="4" spans="1:4" x14ac:dyDescent="0.35">
      <c r="A4" s="6" t="s">
        <v>96</v>
      </c>
      <c r="B4">
        <v>12044</v>
      </c>
      <c r="C4">
        <v>3696</v>
      </c>
      <c r="D4">
        <v>30.69</v>
      </c>
    </row>
    <row r="5" spans="1:4" x14ac:dyDescent="0.35">
      <c r="A5" s="6" t="s">
        <v>95</v>
      </c>
      <c r="B5">
        <v>10150</v>
      </c>
      <c r="C5">
        <v>3420</v>
      </c>
      <c r="D5">
        <v>33.69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0564-7E6F-4CC4-AB3A-AA49428FD645}">
  <dimension ref="A1:C5"/>
  <sheetViews>
    <sheetView workbookViewId="0">
      <selection activeCell="A5" sqref="A5"/>
    </sheetView>
  </sheetViews>
  <sheetFormatPr defaultRowHeight="14.5" x14ac:dyDescent="0.35"/>
  <cols>
    <col min="1" max="1" width="20.7265625" bestFit="1" customWidth="1"/>
    <col min="2" max="2" width="22.453125" bestFit="1" customWidth="1"/>
    <col min="3" max="3" width="35" bestFit="1" customWidth="1"/>
  </cols>
  <sheetData>
    <row r="1" spans="1:3" x14ac:dyDescent="0.35">
      <c r="A1" t="s">
        <v>26</v>
      </c>
      <c r="B1" t="s">
        <v>0</v>
      </c>
      <c r="C1" t="s">
        <v>3</v>
      </c>
    </row>
    <row r="2" spans="1:3" x14ac:dyDescent="0.35">
      <c r="A2" t="s">
        <v>27</v>
      </c>
      <c r="B2">
        <v>11201</v>
      </c>
      <c r="C2">
        <v>18040.009999999998</v>
      </c>
    </row>
    <row r="3" spans="1:3" x14ac:dyDescent="0.35">
      <c r="A3" t="s">
        <v>28</v>
      </c>
      <c r="B3">
        <v>14359</v>
      </c>
      <c r="C3">
        <v>15237.02</v>
      </c>
    </row>
    <row r="4" spans="1:3" x14ac:dyDescent="0.35">
      <c r="A4" t="s">
        <v>29</v>
      </c>
      <c r="B4">
        <v>12044</v>
      </c>
      <c r="C4">
        <v>15256.33</v>
      </c>
    </row>
    <row r="5" spans="1:3" x14ac:dyDescent="0.35">
      <c r="A5" t="s">
        <v>30</v>
      </c>
      <c r="B5">
        <v>10150</v>
      </c>
      <c r="C5">
        <v>17801.73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AFB0D-1100-464A-A3B1-68CC29018A8A}">
  <dimension ref="A1:I5"/>
  <sheetViews>
    <sheetView workbookViewId="0">
      <selection activeCell="I12" sqref="I12"/>
    </sheetView>
  </sheetViews>
  <sheetFormatPr defaultRowHeight="14.5" x14ac:dyDescent="0.35"/>
  <cols>
    <col min="1" max="1" width="11.1796875" bestFit="1" customWidth="1"/>
    <col min="2" max="2" width="23.7265625" bestFit="1" customWidth="1"/>
    <col min="3" max="3" width="27.54296875" bestFit="1" customWidth="1"/>
    <col min="4" max="4" width="24.453125" bestFit="1" customWidth="1"/>
    <col min="5" max="5" width="28.453125" bestFit="1" customWidth="1"/>
    <col min="6" max="6" width="35.26953125" bestFit="1" customWidth="1"/>
    <col min="8" max="8" width="10.54296875" bestFit="1" customWidth="1"/>
    <col min="9" max="9" width="10.54296875" customWidth="1"/>
  </cols>
  <sheetData>
    <row r="1" spans="1:9" ht="29" x14ac:dyDescent="0.35">
      <c r="A1" t="s">
        <v>31</v>
      </c>
      <c r="B1" t="s">
        <v>32</v>
      </c>
      <c r="C1" t="s">
        <v>33</v>
      </c>
      <c r="D1" t="s">
        <v>34</v>
      </c>
      <c r="E1" t="s">
        <v>35</v>
      </c>
      <c r="F1" t="s">
        <v>36</v>
      </c>
      <c r="H1" s="26" t="s">
        <v>81</v>
      </c>
      <c r="I1" s="26" t="s">
        <v>82</v>
      </c>
    </row>
    <row r="2" spans="1:9" x14ac:dyDescent="0.35">
      <c r="A2" t="s">
        <v>37</v>
      </c>
      <c r="B2">
        <v>46827</v>
      </c>
      <c r="C2">
        <v>927</v>
      </c>
      <c r="D2">
        <v>31.51</v>
      </c>
      <c r="E2">
        <v>28.8</v>
      </c>
      <c r="F2">
        <v>2.71</v>
      </c>
      <c r="H2" s="21" t="str">
        <f>Digital_Behavior___Repeat_Purchasing[[#This Row],[behavior]]</f>
        <v>Page View</v>
      </c>
      <c r="I2" s="21">
        <f>Digital_Behavior___Repeat_Purchasing[[#This Row],[repeat_rate_lift_percentage_points]]</f>
        <v>2.71</v>
      </c>
    </row>
    <row r="3" spans="1:9" x14ac:dyDescent="0.35">
      <c r="A3" t="s">
        <v>38</v>
      </c>
      <c r="B3">
        <v>29729</v>
      </c>
      <c r="C3">
        <v>18025</v>
      </c>
      <c r="D3">
        <v>31.74</v>
      </c>
      <c r="E3">
        <v>31</v>
      </c>
      <c r="F3">
        <v>0.74</v>
      </c>
      <c r="H3" s="21" t="str">
        <f>A5</f>
        <v>Login</v>
      </c>
      <c r="I3" s="21">
        <f>F5</f>
        <v>0.93</v>
      </c>
    </row>
    <row r="4" spans="1:9" x14ac:dyDescent="0.35">
      <c r="A4" t="s">
        <v>39</v>
      </c>
      <c r="B4">
        <v>29836</v>
      </c>
      <c r="C4">
        <v>17918</v>
      </c>
      <c r="D4">
        <v>31.7</v>
      </c>
      <c r="E4">
        <v>31.06</v>
      </c>
      <c r="F4">
        <v>0.63</v>
      </c>
      <c r="H4" s="21" t="str">
        <f>A3</f>
        <v>Search</v>
      </c>
      <c r="I4" s="21">
        <f>F3</f>
        <v>0.74</v>
      </c>
    </row>
    <row r="5" spans="1:9" x14ac:dyDescent="0.35">
      <c r="A5" t="s">
        <v>40</v>
      </c>
      <c r="B5">
        <v>22753</v>
      </c>
      <c r="C5">
        <v>25001</v>
      </c>
      <c r="D5">
        <v>31.95</v>
      </c>
      <c r="E5">
        <v>31.01</v>
      </c>
      <c r="F5">
        <v>0.93</v>
      </c>
      <c r="H5" s="21" t="str">
        <f>A4</f>
        <v>Add to Cart</v>
      </c>
      <c r="I5" s="21">
        <f>F4</f>
        <v>0.63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68BB-0257-4D9B-A1C4-B4A01B7FC11B}">
  <dimension ref="A1:J11"/>
  <sheetViews>
    <sheetView workbookViewId="0">
      <selection activeCell="E29" sqref="E29"/>
    </sheetView>
  </sheetViews>
  <sheetFormatPr defaultRowHeight="14.5" x14ac:dyDescent="0.35"/>
  <cols>
    <col min="1" max="1" width="11.1796875" bestFit="1" customWidth="1"/>
    <col min="2" max="2" width="23.7265625" bestFit="1" customWidth="1"/>
    <col min="3" max="3" width="27.54296875" bestFit="1" customWidth="1"/>
    <col min="4" max="4" width="32.1796875" bestFit="1" customWidth="1"/>
    <col min="5" max="5" width="36.1796875" bestFit="1" customWidth="1"/>
    <col min="6" max="6" width="28" bestFit="1" customWidth="1"/>
    <col min="7" max="7" width="24.7265625" bestFit="1" customWidth="1"/>
    <col min="8" max="8" width="8.26953125" customWidth="1"/>
    <col min="9" max="9" width="12.1796875" customWidth="1"/>
    <col min="10" max="10" width="15.26953125" customWidth="1"/>
  </cols>
  <sheetData>
    <row r="1" spans="1:10" ht="43.5" x14ac:dyDescent="0.35">
      <c r="A1" t="s">
        <v>31</v>
      </c>
      <c r="B1" t="s">
        <v>32</v>
      </c>
      <c r="C1" t="s">
        <v>33</v>
      </c>
      <c r="D1" t="s">
        <v>41</v>
      </c>
      <c r="E1" t="s">
        <v>42</v>
      </c>
      <c r="F1" t="s">
        <v>43</v>
      </c>
      <c r="G1" t="s">
        <v>44</v>
      </c>
      <c r="I1" s="26" t="s">
        <v>89</v>
      </c>
      <c r="J1" s="26" t="s">
        <v>90</v>
      </c>
    </row>
    <row r="2" spans="1:10" x14ac:dyDescent="0.35">
      <c r="A2" t="s">
        <v>37</v>
      </c>
      <c r="B2">
        <v>46827</v>
      </c>
      <c r="C2">
        <v>927</v>
      </c>
      <c r="D2">
        <v>16371.9</v>
      </c>
      <c r="E2">
        <v>20110.580000000002</v>
      </c>
      <c r="F2">
        <v>-3738.68</v>
      </c>
      <c r="G2">
        <v>-18.59</v>
      </c>
      <c r="I2" s="21" t="str">
        <f>IF(Digital_Behavior___Future_Value[[#This Row],[future_revenue_difference]]&gt;0,"+"&amp;TEXT(Digital_Behavior___Future_Value[[#This Row],[future_revenue_difference]],"$#,##0.00"),TEXT(Digital_Behavior___Future_Value[[#This Row],[future_revenue_difference]],"$#,##0.00"))</f>
        <v>-$3,738.68</v>
      </c>
      <c r="J2" s="21" t="str">
        <f>IF(Digital_Behavior___Future_Value[[#This Row],[future_revenue_lift_pct]]&gt;0,"+"&amp;TEXT(Digital_Behavior___Future_Value[[#This Row],[future_revenue_lift_pct]],"0.00")&amp;"%",TEXT(Digital_Behavior___Future_Value[[#This Row],[future_revenue_lift_pct]],"0.00")&amp;"%")</f>
        <v>-18.59%</v>
      </c>
    </row>
    <row r="3" spans="1:10" x14ac:dyDescent="0.35">
      <c r="A3" t="s">
        <v>38</v>
      </c>
      <c r="B3">
        <v>29729</v>
      </c>
      <c r="C3">
        <v>18025</v>
      </c>
      <c r="D3">
        <v>16598.77</v>
      </c>
      <c r="E3">
        <v>16189.99</v>
      </c>
      <c r="F3">
        <v>408.78</v>
      </c>
      <c r="G3">
        <v>2.52</v>
      </c>
      <c r="I3" s="21" t="str">
        <f>IF(Digital_Behavior___Future_Value[[#This Row],[future_revenue_difference]]&gt;0,"+"&amp;TEXT(Digital_Behavior___Future_Value[[#This Row],[future_revenue_difference]],"$#,##0.00"),TEXT(Digital_Behavior___Future_Value[[#This Row],[future_revenue_difference]],"$#,##0.00"))</f>
        <v>+$408.78</v>
      </c>
      <c r="J3" s="21" t="str">
        <f>IF(Digital_Behavior___Future_Value[[#This Row],[future_revenue_lift_pct]]&gt;0,"+"&amp;TEXT(Digital_Behavior___Future_Value[[#This Row],[future_revenue_lift_pct]],"0.00")&amp;"%",TEXT(Digital_Behavior___Future_Value[[#This Row],[future_revenue_lift_pct]],"0.00")&amp;"%")</f>
        <v>+2.52%</v>
      </c>
    </row>
    <row r="4" spans="1:10" x14ac:dyDescent="0.35">
      <c r="A4" t="s">
        <v>39</v>
      </c>
      <c r="B4">
        <v>29836</v>
      </c>
      <c r="C4">
        <v>17918</v>
      </c>
      <c r="D4">
        <v>16353.71</v>
      </c>
      <c r="E4">
        <v>16595.61</v>
      </c>
      <c r="F4">
        <v>-241.9</v>
      </c>
      <c r="G4">
        <v>-1.46</v>
      </c>
      <c r="I4" s="21" t="str">
        <f>IF(Digital_Behavior___Future_Value[[#This Row],[future_revenue_difference]]&gt;0,"+"&amp;TEXT(Digital_Behavior___Future_Value[[#This Row],[future_revenue_difference]],"$#,##0.00"),TEXT(Digital_Behavior___Future_Value[[#This Row],[future_revenue_difference]],"$#,##0.00"))</f>
        <v>-$241.90</v>
      </c>
      <c r="J4" s="21" t="str">
        <f>IF(Digital_Behavior___Future_Value[[#This Row],[future_revenue_lift_pct]]&gt;0,"+"&amp;TEXT(Digital_Behavior___Future_Value[[#This Row],[future_revenue_lift_pct]],"0.00")&amp;"%",TEXT(Digital_Behavior___Future_Value[[#This Row],[future_revenue_lift_pct]],"0.00")&amp;"%")</f>
        <v>-1.46%</v>
      </c>
    </row>
    <row r="5" spans="1:10" x14ac:dyDescent="0.35">
      <c r="A5" t="s">
        <v>40</v>
      </c>
      <c r="B5">
        <v>22753</v>
      </c>
      <c r="C5">
        <v>25001</v>
      </c>
      <c r="D5">
        <v>16592.59</v>
      </c>
      <c r="E5">
        <v>16309.67</v>
      </c>
      <c r="F5">
        <v>282.92</v>
      </c>
      <c r="G5">
        <v>1.73</v>
      </c>
      <c r="I5" s="21" t="str">
        <f>IF(Digital_Behavior___Future_Value[[#This Row],[future_revenue_difference]]&gt;0,"+"&amp;TEXT(Digital_Behavior___Future_Value[[#This Row],[future_revenue_difference]],"$#,##0.00"),TEXT(Digital_Behavior___Future_Value[[#This Row],[future_revenue_difference]],"$#,##0.00"))</f>
        <v>+$282.92</v>
      </c>
      <c r="J5" s="21" t="str">
        <f>IF(Digital_Behavior___Future_Value[[#This Row],[future_revenue_lift_pct]]&gt;0,"+"&amp;TEXT(Digital_Behavior___Future_Value[[#This Row],[future_revenue_lift_pct]],"0.00")&amp;"%",TEXT(Digital_Behavior___Future_Value[[#This Row],[future_revenue_lift_pct]],"0.00")&amp;"%")</f>
        <v>+1.73%</v>
      </c>
    </row>
    <row r="7" spans="1:10" x14ac:dyDescent="0.35">
      <c r="A7" s="25" t="s">
        <v>83</v>
      </c>
      <c r="B7" s="25" t="s">
        <v>84</v>
      </c>
      <c r="C7" s="25" t="s">
        <v>85</v>
      </c>
      <c r="D7" s="25" t="s">
        <v>86</v>
      </c>
      <c r="E7" s="25" t="s">
        <v>87</v>
      </c>
      <c r="F7" s="25" t="s">
        <v>88</v>
      </c>
    </row>
    <row r="8" spans="1:10" x14ac:dyDescent="0.35">
      <c r="A8" s="21" t="str" cm="1">
        <f t="array" ref="A8:A11">Digital_Behavior___Future_Value[behavior]</f>
        <v>Page View</v>
      </c>
      <c r="B8" s="21" cm="1">
        <f t="array" ref="B8:B11">Digital_Behavior___Future_Value[avg_future_revenue_performed]</f>
        <v>16371.9</v>
      </c>
      <c r="C8" s="21" cm="1">
        <f t="array" ref="C8:C11">Digital_Behavior___Future_Value[avg_future_revenue_not_performed]</f>
        <v>20110.580000000002</v>
      </c>
      <c r="D8" s="21">
        <v>4</v>
      </c>
      <c r="E8" s="21">
        <f>MAX(0,C8-B8)</f>
        <v>3738.6800000000021</v>
      </c>
      <c r="F8" s="21">
        <f>MAX(0,B8-C8)</f>
        <v>0</v>
      </c>
    </row>
    <row r="9" spans="1:10" x14ac:dyDescent="0.35">
      <c r="A9" s="21" t="str">
        <v>Search</v>
      </c>
      <c r="B9" s="21">
        <v>16598.77</v>
      </c>
      <c r="C9" s="21">
        <v>16189.99</v>
      </c>
      <c r="D9" s="21">
        <v>3</v>
      </c>
      <c r="E9" s="21">
        <f t="shared" ref="E9:E11" si="0">MAX(0,C9-B9)</f>
        <v>0</v>
      </c>
      <c r="F9" s="21">
        <f t="shared" ref="F9:F11" si="1">MAX(0,B9-C9)</f>
        <v>408.78000000000065</v>
      </c>
    </row>
    <row r="10" spans="1:10" x14ac:dyDescent="0.35">
      <c r="A10" s="21" t="str">
        <v>Add to Cart</v>
      </c>
      <c r="B10" s="21">
        <v>16353.71</v>
      </c>
      <c r="C10" s="21">
        <v>16595.61</v>
      </c>
      <c r="D10" s="21">
        <v>2</v>
      </c>
      <c r="E10" s="21">
        <f t="shared" si="0"/>
        <v>241.90000000000146</v>
      </c>
      <c r="F10" s="21">
        <f t="shared" si="1"/>
        <v>0</v>
      </c>
    </row>
    <row r="11" spans="1:10" x14ac:dyDescent="0.35">
      <c r="A11" s="21" t="str">
        <v>Login</v>
      </c>
      <c r="B11" s="21">
        <v>16592.59</v>
      </c>
      <c r="C11" s="21">
        <v>16309.67</v>
      </c>
      <c r="D11" s="21">
        <v>1</v>
      </c>
      <c r="E11" s="21">
        <f t="shared" si="0"/>
        <v>0</v>
      </c>
      <c r="F11" s="21">
        <f t="shared" si="1"/>
        <v>282.92000000000007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97AD2-F04F-49C0-B6B1-9D2DE6C58955}">
  <dimension ref="A1:E5"/>
  <sheetViews>
    <sheetView workbookViewId="0">
      <selection activeCell="A20" sqref="A20"/>
    </sheetView>
  </sheetViews>
  <sheetFormatPr defaultRowHeight="14.5" x14ac:dyDescent="0.35"/>
  <cols>
    <col min="1" max="1" width="26.7265625" bestFit="1" customWidth="1"/>
    <col min="2" max="2" width="22.453125" bestFit="1" customWidth="1"/>
    <col min="3" max="3" width="26.453125" bestFit="1" customWidth="1"/>
    <col min="4" max="4" width="29.7265625" bestFit="1" customWidth="1"/>
    <col min="5" max="5" width="35" bestFit="1" customWidth="1"/>
  </cols>
  <sheetData>
    <row r="1" spans="1:5" x14ac:dyDescent="0.35">
      <c r="A1" t="s">
        <v>45</v>
      </c>
      <c r="B1" t="s">
        <v>0</v>
      </c>
      <c r="C1" t="s">
        <v>1</v>
      </c>
      <c r="D1" t="s">
        <v>2</v>
      </c>
      <c r="E1" t="s">
        <v>3</v>
      </c>
    </row>
    <row r="2" spans="1:5" x14ac:dyDescent="0.35">
      <c r="A2">
        <v>0</v>
      </c>
      <c r="B2">
        <v>29936</v>
      </c>
      <c r="C2">
        <v>9369</v>
      </c>
      <c r="D2">
        <v>31.3</v>
      </c>
      <c r="E2">
        <v>15877.36</v>
      </c>
    </row>
    <row r="3" spans="1:5" x14ac:dyDescent="0.35">
      <c r="A3">
        <v>1</v>
      </c>
      <c r="B3">
        <v>13928</v>
      </c>
      <c r="C3">
        <v>4373</v>
      </c>
      <c r="D3">
        <v>31.4</v>
      </c>
      <c r="E3">
        <v>17505.07</v>
      </c>
    </row>
    <row r="4" spans="1:5" x14ac:dyDescent="0.35">
      <c r="A4">
        <v>2</v>
      </c>
      <c r="B4">
        <v>3311</v>
      </c>
      <c r="C4">
        <v>1074</v>
      </c>
      <c r="D4">
        <v>32.44</v>
      </c>
      <c r="E4">
        <v>16513.09</v>
      </c>
    </row>
    <row r="5" spans="1:5" x14ac:dyDescent="0.35">
      <c r="A5" s="13" t="s">
        <v>98</v>
      </c>
      <c r="B5">
        <v>660</v>
      </c>
      <c r="C5">
        <v>235</v>
      </c>
      <c r="D5">
        <v>35.61</v>
      </c>
      <c r="E5">
        <v>19106.099999999999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8404F-DA01-4377-99D9-BEAD68E5A139}">
  <dimension ref="A1:J4"/>
  <sheetViews>
    <sheetView workbookViewId="0">
      <selection activeCell="D21" sqref="D21"/>
    </sheetView>
  </sheetViews>
  <sheetFormatPr defaultRowHeight="14.5" x14ac:dyDescent="0.35"/>
  <cols>
    <col min="1" max="1" width="12.54296875" bestFit="1" customWidth="1"/>
    <col min="2" max="2" width="22.453125" bestFit="1" customWidth="1"/>
    <col min="3" max="3" width="26.453125" bestFit="1" customWidth="1"/>
    <col min="4" max="4" width="29.7265625" bestFit="1" customWidth="1"/>
    <col min="5" max="5" width="35" bestFit="1" customWidth="1"/>
    <col min="7" max="7" width="11" customWidth="1"/>
  </cols>
  <sheetData>
    <row r="1" spans="1:10" ht="29" x14ac:dyDescent="0.35">
      <c r="A1" t="s">
        <v>46</v>
      </c>
      <c r="B1" t="s">
        <v>0</v>
      </c>
      <c r="C1" t="s">
        <v>1</v>
      </c>
      <c r="D1" t="s">
        <v>2</v>
      </c>
      <c r="E1" t="s">
        <v>3</v>
      </c>
      <c r="G1" s="26" t="s">
        <v>91</v>
      </c>
      <c r="H1" s="21"/>
      <c r="I1" s="21"/>
      <c r="J1" s="21"/>
    </row>
    <row r="2" spans="1:10" x14ac:dyDescent="0.35">
      <c r="A2" t="s">
        <v>47</v>
      </c>
      <c r="B2">
        <v>5923</v>
      </c>
      <c r="C2">
        <v>1946</v>
      </c>
      <c r="D2">
        <v>32.85</v>
      </c>
      <c r="E2">
        <v>17359.5</v>
      </c>
      <c r="G2" s="21" t="str" cm="1">
        <f t="array" ref="G2:G4">TEXT(Support_Sentiment_Analysis[avg_future_revenue_per_customer],"$#,##0")&amp;CHAR(10)&amp;"(Repeat Purchase Rate: "&amp;TEXT(Support_Sentiment_Analysis[future_repeat_purchase_rate],"0.0")&amp;"%)"</f>
        <v>$17,360
(Repeat Purchase Rate: 32.9%)</v>
      </c>
      <c r="H2" s="21"/>
      <c r="I2" s="21"/>
      <c r="J2" s="21"/>
    </row>
    <row r="3" spans="1:10" x14ac:dyDescent="0.35">
      <c r="A3" t="s">
        <v>48</v>
      </c>
      <c r="B3">
        <v>5981</v>
      </c>
      <c r="C3">
        <v>1870</v>
      </c>
      <c r="D3">
        <v>31.27</v>
      </c>
      <c r="E3">
        <v>16172.24</v>
      </c>
      <c r="G3" s="21" t="str">
        <v>$16,172
(Repeat Purchase Rate: 31.3%)</v>
      </c>
      <c r="H3" s="21"/>
      <c r="I3" s="21"/>
      <c r="J3" s="21"/>
    </row>
    <row r="4" spans="1:10" x14ac:dyDescent="0.35">
      <c r="A4" t="s">
        <v>49</v>
      </c>
      <c r="B4">
        <v>5995</v>
      </c>
      <c r="C4">
        <v>1866</v>
      </c>
      <c r="D4">
        <v>31.13</v>
      </c>
      <c r="E4">
        <v>18607.009999999998</v>
      </c>
      <c r="G4" s="21" t="str">
        <v>$18,607
(Repeat Purchase Rate: 31.1%)</v>
      </c>
      <c r="H4" s="21"/>
      <c r="I4" s="21"/>
      <c r="J4" s="21"/>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C95DE-6E81-40FC-83D1-5B9B4FF1E628}">
  <dimension ref="A1:E5"/>
  <sheetViews>
    <sheetView workbookViewId="0">
      <selection activeCell="A2" sqref="A2"/>
    </sheetView>
  </sheetViews>
  <sheetFormatPr defaultRowHeight="14.5" x14ac:dyDescent="0.35"/>
  <cols>
    <col min="1" max="1" width="24" bestFit="1" customWidth="1"/>
    <col min="2" max="2" width="22.453125" bestFit="1" customWidth="1"/>
    <col min="3" max="3" width="26.453125" bestFit="1" customWidth="1"/>
    <col min="4" max="4" width="29.7265625" bestFit="1" customWidth="1"/>
    <col min="5" max="5" width="35" bestFit="1" customWidth="1"/>
  </cols>
  <sheetData>
    <row r="1" spans="1:5" x14ac:dyDescent="0.35">
      <c r="A1" t="s">
        <v>50</v>
      </c>
      <c r="B1" t="s">
        <v>0</v>
      </c>
      <c r="C1" t="s">
        <v>1</v>
      </c>
      <c r="D1" t="s">
        <v>2</v>
      </c>
      <c r="E1" t="s">
        <v>3</v>
      </c>
    </row>
    <row r="2" spans="1:5" x14ac:dyDescent="0.35">
      <c r="A2" t="s">
        <v>51</v>
      </c>
      <c r="B2">
        <v>4741</v>
      </c>
      <c r="C2">
        <v>1489</v>
      </c>
      <c r="D2">
        <v>31.41</v>
      </c>
      <c r="E2">
        <v>19072.8</v>
      </c>
    </row>
    <row r="3" spans="1:5" x14ac:dyDescent="0.35">
      <c r="A3" t="s">
        <v>52</v>
      </c>
      <c r="B3">
        <v>4085</v>
      </c>
      <c r="C3">
        <v>1347</v>
      </c>
      <c r="D3">
        <v>32.97</v>
      </c>
      <c r="E3">
        <v>17841.02</v>
      </c>
    </row>
    <row r="4" spans="1:5" x14ac:dyDescent="0.35">
      <c r="A4" t="s">
        <v>53</v>
      </c>
      <c r="B4">
        <v>4216</v>
      </c>
      <c r="C4">
        <v>1334</v>
      </c>
      <c r="D4">
        <v>31.64</v>
      </c>
      <c r="E4">
        <v>16525.599999999999</v>
      </c>
    </row>
    <row r="5" spans="1:5" x14ac:dyDescent="0.35">
      <c r="A5" t="s">
        <v>54</v>
      </c>
      <c r="B5">
        <v>4857</v>
      </c>
      <c r="C5">
        <v>1512</v>
      </c>
      <c r="D5">
        <v>31.13</v>
      </c>
      <c r="E5">
        <v>16083.77</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865AD-B003-4017-AC0A-12E01416B28F}">
  <dimension ref="A1:E5"/>
  <sheetViews>
    <sheetView workbookViewId="0">
      <selection activeCell="E20" sqref="E20"/>
    </sheetView>
  </sheetViews>
  <sheetFormatPr defaultRowHeight="14.5" x14ac:dyDescent="0.35"/>
  <cols>
    <col min="1" max="1" width="13" bestFit="1" customWidth="1"/>
    <col min="2" max="2" width="22.453125" bestFit="1" customWidth="1"/>
    <col min="3" max="3" width="26.453125" bestFit="1" customWidth="1"/>
    <col min="4" max="4" width="29.7265625" bestFit="1" customWidth="1"/>
    <col min="5" max="5" width="35" bestFit="1" customWidth="1"/>
  </cols>
  <sheetData>
    <row r="1" spans="1:5" x14ac:dyDescent="0.35">
      <c r="A1" t="s">
        <v>55</v>
      </c>
      <c r="B1" t="s">
        <v>0</v>
      </c>
      <c r="C1" t="s">
        <v>1</v>
      </c>
      <c r="D1" t="s">
        <v>2</v>
      </c>
      <c r="E1" t="s">
        <v>3</v>
      </c>
    </row>
    <row r="2" spans="1:5" x14ac:dyDescent="0.35">
      <c r="A2" t="s">
        <v>56</v>
      </c>
      <c r="B2">
        <v>4546</v>
      </c>
      <c r="C2">
        <v>1464</v>
      </c>
      <c r="D2">
        <v>32.200000000000003</v>
      </c>
      <c r="E2">
        <v>18061.259999999998</v>
      </c>
    </row>
    <row r="3" spans="1:5" x14ac:dyDescent="0.35">
      <c r="A3" t="s">
        <v>57</v>
      </c>
      <c r="B3">
        <v>4446</v>
      </c>
      <c r="C3">
        <v>1408</v>
      </c>
      <c r="D3">
        <v>31.67</v>
      </c>
      <c r="E3">
        <v>16664.939999999999</v>
      </c>
    </row>
    <row r="4" spans="1:5" x14ac:dyDescent="0.35">
      <c r="A4" t="s">
        <v>58</v>
      </c>
      <c r="B4">
        <v>4486</v>
      </c>
      <c r="C4">
        <v>1409</v>
      </c>
      <c r="D4">
        <v>31.41</v>
      </c>
      <c r="E4">
        <v>17682.919999999998</v>
      </c>
    </row>
    <row r="5" spans="1:5" x14ac:dyDescent="0.35">
      <c r="A5" t="s">
        <v>59</v>
      </c>
      <c r="B5">
        <v>4421</v>
      </c>
      <c r="C5">
        <v>1401</v>
      </c>
      <c r="D5">
        <v>31.69</v>
      </c>
      <c r="E5">
        <v>17093.669999999998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B8B070-865B-4DCD-8348-15B65B8C5D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Home</vt:lpstr>
      <vt:lpstr>Purchasing Behavior</vt:lpstr>
      <vt:lpstr>Digital Engagement</vt:lpstr>
      <vt:lpstr>Support Experience</vt:lpstr>
      <vt:lpstr>Insights and Recommendations </vt:lpstr>
      <vt:lpstr>Home Dashboard KPIs</vt:lpstr>
      <vt:lpstr>Home Dashboard Segments</vt:lpstr>
      <vt:lpstr>Home Dashboard Segment Bubbles</vt:lpstr>
      <vt:lpstr>Purchasing - Frequency</vt:lpstr>
      <vt:lpstr>Purchasing - Spending</vt:lpstr>
      <vt:lpstr>Purchasing - AOV</vt:lpstr>
      <vt:lpstr>Purchasing - Recency</vt:lpstr>
      <vt:lpstr>Digital - Engagement Repeat</vt:lpstr>
      <vt:lpstr>Digital - Engagement Value</vt:lpstr>
      <vt:lpstr>Digital - Behavior Repeat</vt:lpstr>
      <vt:lpstr>Digital - Behavior Value</vt:lpstr>
      <vt:lpstr>Support - Ticket Frequency</vt:lpstr>
      <vt:lpstr>Support - Sentiment</vt:lpstr>
      <vt:lpstr>Support - Resolution Time</vt:lpstr>
      <vt:lpstr>Support - Issue 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Jacques le Roux</dc:creator>
  <cp:lastModifiedBy>Jacques le Roux</cp:lastModifiedBy>
  <dcterms:created xsi:type="dcterms:W3CDTF">2026-08-17T05:00:54Z</dcterms:created>
  <dcterms:modified xsi:type="dcterms:W3CDTF">2026-09-06T01:35:30Z</dcterms:modified>
</cp:coreProperties>
</file>